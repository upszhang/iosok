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mc:AlternateContent xmlns:mc="http://schemas.openxmlformats.org/markup-compatibility/2006">
    <mc:Choice Requires="x15">
      <x15ac:absPath xmlns:x15ac="http://schemas.microsoft.com/office/spreadsheetml/2010/11/ac" url="C:\Users\lzhang272\OneDrive - kochind.com\Desktop\Blade_C+L\Issue Tracker\"/>
    </mc:Choice>
  </mc:AlternateContent>
  <xr:revisionPtr revIDLastSave="121" documentId="11_86DB9D9DD198F88D6DD943D167D8098C4C1FADD5" xr6:coauthVersionLast="43" xr6:coauthVersionMax="43" xr10:uidLastSave="{ED54836D-38B2-4E97-A3BD-3625F028337A}"/>
  <bookViews>
    <workbookView xWindow="-110" yWindow="-110" windowWidth="19420" windowHeight="10420" activeTab="10" xr2:uid="{00000000-000D-0000-FFFF-FFFF00000000}"/>
  </bookViews>
  <sheets>
    <sheet name="Cover" sheetId="8" r:id="rId1"/>
    <sheet name="DashBoard" sheetId="9" r:id="rId2"/>
    <sheet name=" 1" sheetId="10" r:id="rId3"/>
    <sheet name=" 2" sheetId="11" r:id="rId4"/>
    <sheet name=" 3" sheetId="12" r:id="rId5"/>
    <sheet name=" 4" sheetId="13" r:id="rId6"/>
    <sheet name=" 5" sheetId="14" r:id="rId7"/>
    <sheet name=" 6" sheetId="15" r:id="rId8"/>
    <sheet name="7" sheetId="17" r:id="rId9"/>
    <sheet name="8" sheetId="18" r:id="rId10"/>
    <sheet name="9" sheetId="19" r:id="rId11"/>
    <sheet name="db" sheetId="2" r:id="rId12"/>
    <sheet name="sample" sheetId="7" r:id="rId13"/>
  </sheet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00000000-0006-0000-0200-000001000000}">
      <text>
        <r>
          <rPr>
            <b/>
            <sz val="12"/>
            <color indexed="81"/>
            <rFont val="ＭＳ Ｐゴシック"/>
            <family val="3"/>
            <charset val="128"/>
          </rPr>
          <t>Expected Due Date and Committed Due Date require updating after changing Owner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00000000-0006-0000-0300-000001000000}">
      <text>
        <r>
          <rPr>
            <b/>
            <sz val="12"/>
            <color indexed="81"/>
            <rFont val="ＭＳ Ｐゴシック"/>
            <family val="3"/>
            <charset val="128"/>
          </rPr>
          <t>Expected Due Date and Committed Due Date require updating after changing Owner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00000000-0006-0000-0400-000001000000}">
      <text>
        <r>
          <rPr>
            <b/>
            <sz val="12"/>
            <color indexed="81"/>
            <rFont val="ＭＳ Ｐゴシック"/>
            <family val="3"/>
            <charset val="128"/>
          </rPr>
          <t>Expected Due Date and Committed Due Date require updating after changing Owner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00000000-0006-0000-0500-000001000000}">
      <text>
        <r>
          <rPr>
            <b/>
            <sz val="12"/>
            <color indexed="81"/>
            <rFont val="ＭＳ Ｐゴシック"/>
            <family val="3"/>
            <charset val="128"/>
          </rPr>
          <t>Expected Due Date and Committed Due Date require updating after changing Owner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00000000-0006-0000-0600-000001000000}">
      <text>
        <r>
          <rPr>
            <b/>
            <sz val="12"/>
            <color indexed="81"/>
            <rFont val="ＭＳ Ｐゴシック"/>
            <family val="3"/>
            <charset val="128"/>
          </rPr>
          <t>Expected Due Date and Committed Due Date require updating after changing Owner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00000000-0006-0000-0700-000001000000}">
      <text>
        <r>
          <rPr>
            <b/>
            <sz val="12"/>
            <color indexed="81"/>
            <rFont val="ＭＳ Ｐゴシック"/>
            <family val="3"/>
            <charset val="128"/>
          </rPr>
          <t>Expected Due Date and Committed Due Date require updating after changing Owner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E5814C12-743C-4FB4-A918-3F4A414A2586}">
      <text>
        <r>
          <rPr>
            <b/>
            <sz val="12"/>
            <color indexed="81"/>
            <rFont val="ＭＳ Ｐゴシック"/>
            <family val="3"/>
            <charset val="128"/>
          </rPr>
          <t>Expected Due Date and Committed Due Date require updating after changing Owner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3B325376-2797-47D9-9EB7-C15D7101AF27}">
      <text>
        <r>
          <rPr>
            <b/>
            <sz val="12"/>
            <color indexed="81"/>
            <rFont val="ＭＳ Ｐゴシック"/>
            <family val="3"/>
            <charset val="128"/>
          </rPr>
          <t>Expected Due Date and Committed Due Date require updating after changing Owner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C56B52E0-2FE2-4798-8DE8-F6DA5F4C3E9C}">
      <text>
        <r>
          <rPr>
            <b/>
            <sz val="12"/>
            <color indexed="81"/>
            <rFont val="ＭＳ Ｐゴシック"/>
            <family val="3"/>
            <charset val="128"/>
          </rPr>
          <t>Expected Due Date and Committed Due Date require updating after changing Owner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Matsumoto, Hiroyuki/松元 宏之</author>
  </authors>
  <commentList>
    <comment ref="D2" authorId="0" shapeId="0" xr:uid="{00000000-0006-0000-0900-000001000000}">
      <text>
        <r>
          <rPr>
            <b/>
            <sz val="12"/>
            <color indexed="81"/>
            <rFont val="ＭＳ Ｐゴシック"/>
            <family val="3"/>
            <charset val="128"/>
          </rPr>
          <t>Expected Due Date and Committed Due Date require updating after changing Owner</t>
        </r>
      </text>
    </comment>
  </commentList>
</comments>
</file>

<file path=xl/sharedStrings.xml><?xml version="1.0" encoding="utf-8"?>
<sst xmlns="http://schemas.openxmlformats.org/spreadsheetml/2006/main" count="337" uniqueCount="109">
  <si>
    <t>No</t>
    <phoneticPr fontId="1"/>
  </si>
  <si>
    <t>Fujitsu</t>
    <phoneticPr fontId="1"/>
  </si>
  <si>
    <t>Originator</t>
    <phoneticPr fontId="1"/>
  </si>
  <si>
    <t>Date</t>
    <phoneticPr fontId="1"/>
  </si>
  <si>
    <t>Author</t>
    <phoneticPr fontId="1"/>
  </si>
  <si>
    <t>Addressed
Date</t>
    <phoneticPr fontId="1"/>
  </si>
  <si>
    <t>Summary</t>
    <phoneticPr fontId="1"/>
  </si>
  <si>
    <t>Issue</t>
    <phoneticPr fontId="1"/>
  </si>
  <si>
    <t>Answer</t>
    <phoneticPr fontId="1"/>
  </si>
  <si>
    <t>Status</t>
    <phoneticPr fontId="1"/>
  </si>
  <si>
    <t>Severity</t>
    <phoneticPr fontId="1"/>
  </si>
  <si>
    <t>Expected
Due Date</t>
    <phoneticPr fontId="1"/>
  </si>
  <si>
    <t>Committed
Due Date</t>
    <phoneticPr fontId="1"/>
  </si>
  <si>
    <t>Severity</t>
    <phoneticPr fontId="1"/>
  </si>
  <si>
    <t>To DashBoard</t>
  </si>
  <si>
    <t>Note</t>
    <phoneticPr fontId="1"/>
  </si>
  <si>
    <t>Refered file name</t>
    <phoneticPr fontId="1"/>
  </si>
  <si>
    <t>Expected 
Due date</t>
    <phoneticPr fontId="1"/>
  </si>
  <si>
    <t>addressed</t>
    <phoneticPr fontId="1"/>
  </si>
  <si>
    <t>Open</t>
    <phoneticPr fontId="1"/>
  </si>
  <si>
    <t>Major</t>
    <phoneticPr fontId="1"/>
  </si>
  <si>
    <t xml:space="preserve"> </t>
    <phoneticPr fontId="1"/>
  </si>
  <si>
    <t>Expected Date and Committed Due Date require update after owner changed on each AI spread sheets.</t>
    <phoneticPr fontId="1"/>
  </si>
  <si>
    <t>Owner</t>
    <phoneticPr fontId="1"/>
  </si>
  <si>
    <t>AI No</t>
    <phoneticPr fontId="1"/>
  </si>
  <si>
    <t>total</t>
    <phoneticPr fontId="1"/>
  </si>
  <si>
    <t>Closed</t>
    <phoneticPr fontId="1"/>
  </si>
  <si>
    <t>Critical</t>
    <phoneticPr fontId="1"/>
  </si>
  <si>
    <t>Manior</t>
    <phoneticPr fontId="1"/>
  </si>
  <si>
    <t>Reference</t>
    <phoneticPr fontId="1"/>
  </si>
  <si>
    <t>Originator</t>
    <phoneticPr fontId="1"/>
  </si>
  <si>
    <t>Owner</t>
    <phoneticPr fontId="1"/>
  </si>
  <si>
    <t>Status</t>
    <phoneticPr fontId="1"/>
  </si>
  <si>
    <t>Committed 
Due date</t>
    <phoneticPr fontId="1"/>
  </si>
  <si>
    <t>Note</t>
    <phoneticPr fontId="1"/>
  </si>
  <si>
    <t>molex</t>
  </si>
  <si>
    <t>molex</t>
    <phoneticPr fontId="1"/>
  </si>
  <si>
    <t xml:space="preserve"> 1</t>
  </si>
  <si>
    <t>CR</t>
  </si>
  <si>
    <t>LD temperature does not reach the target value at -5 degC</t>
    <phoneticPr fontId="1"/>
  </si>
  <si>
    <t>Target temperature is not reached due to heater current limitation of TEC at -5 degC.</t>
    <phoneticPr fontId="1"/>
  </si>
  <si>
    <t>If the first blade needs repair, Fujitsu will return it after February next year.</t>
    <phoneticPr fontId="1"/>
  </si>
  <si>
    <t>Fujitsu</t>
  </si>
  <si>
    <t>Open</t>
  </si>
  <si>
    <t xml:space="preserve"> 2</t>
  </si>
  <si>
    <t>MJ</t>
  </si>
  <si>
    <t>Mislabeling of the front L160 label</t>
  </si>
  <si>
    <t>L810 was printed instead of L 160.</t>
    <phoneticPr fontId="1"/>
  </si>
  <si>
    <t>Which shipment should be corrected?
We will discuss how to deal with the first blade.</t>
    <phoneticPr fontId="1"/>
  </si>
  <si>
    <t xml:space="preserve"> 3</t>
  </si>
  <si>
    <t>The requirement error of FAN CLEI label</t>
  </si>
  <si>
    <t>The requirement of WOCUBD88AA is wrong. The correct is WOCUBD8BAA.</t>
    <phoneticPr fontId="1"/>
  </si>
  <si>
    <t>Fujitsu will revise the requirements specification by 11/15.</t>
    <phoneticPr fontId="1"/>
  </si>
  <si>
    <t>molex is to clarify when corrected blade should be shipped.</t>
    <phoneticPr fontId="1"/>
  </si>
  <si>
    <t>molex is to clarify when corrected blade will be shipped as well as the treatment to blades which have been shipped already.</t>
    <phoneticPr fontId="1"/>
  </si>
  <si>
    <t xml:space="preserve"> 4</t>
  </si>
  <si>
    <t>Addressed</t>
  </si>
  <si>
    <t>Laser label issue</t>
  </si>
  <si>
    <t xml:space="preserve"> 5</t>
  </si>
  <si>
    <t>Warmup is not removed</t>
  </si>
  <si>
    <t>The resistances are changed to increase the current limit from 1.1 A to 2 A. This problem will be fixed from the second blade.</t>
    <phoneticPr fontId="1"/>
  </si>
  <si>
    <t>Please explain the following.
1) Why the target temperature was not reached bythe heater current of 1.1 A at -5degC
2) The reason why the LD temperature becomes the target temperature by the heater current of 2A at -5degC.
3) How much margin is the heater current considering individual variation?</t>
    <phoneticPr fontId="1"/>
  </si>
  <si>
    <t>1) Send us a revised label for the first sample.
2) Provide us with a picture of the revised label since the second shipment.</t>
    <phoneticPr fontId="1"/>
  </si>
  <si>
    <t>Incorrect laser label description. The correct one is
1. “Complies with FDA performance standards for laser products except for conformance with IEC 60825-1 Ed. 3., as described in Laser Notice No. 56, dated May 8, 2019.” or
2. “Complies with 21 CFR 1040.10 and 1040.11 except for conformance with IEC 60825-1 Ed. 3., as described in Laser Notice No. 56, dated May 8, 2019.”
Please refer to
https://www.fda.gov/media/110120/download</t>
    <phoneticPr fontId="1"/>
  </si>
  <si>
    <t>Provide us a modified label drawing.</t>
    <phoneticPr fontId="1"/>
  </si>
  <si>
    <r>
      <t>Fujitsu confirmed the label drawing of "1830912204 306x58mm 黄色</t>
    </r>
    <r>
      <rPr>
        <b/>
        <sz val="12"/>
        <color theme="1"/>
        <rFont val="Calibri"/>
        <family val="3"/>
        <charset val="134"/>
        <scheme val="minor"/>
      </rPr>
      <t>标签</t>
    </r>
    <r>
      <rPr>
        <b/>
        <sz val="12"/>
        <color theme="1"/>
        <rFont val="Calibri"/>
        <family val="3"/>
        <charset val="128"/>
        <scheme val="minor"/>
      </rPr>
      <t>2". It is OK. When are modified labels applied?</t>
    </r>
    <phoneticPr fontId="1"/>
  </si>
  <si>
    <r>
      <t>Fujitsu confirmed the label drawing of "1830912204 306x58mm 黄色</t>
    </r>
    <r>
      <rPr>
        <b/>
        <sz val="12"/>
        <color theme="1"/>
        <rFont val="Calibri"/>
        <family val="3"/>
        <charset val="134"/>
        <scheme val="minor"/>
      </rPr>
      <t>标签</t>
    </r>
    <r>
      <rPr>
        <b/>
        <sz val="12"/>
        <color theme="1"/>
        <rFont val="Calibri"/>
        <family val="3"/>
        <charset val="128"/>
        <scheme val="minor"/>
      </rPr>
      <t>.pdf". But  it is not "N</t>
    </r>
    <r>
      <rPr>
        <b/>
        <sz val="12"/>
        <color rgb="FFFF0000"/>
        <rFont val="Calibri"/>
        <family val="3"/>
        <charset val="128"/>
        <scheme val="minor"/>
      </rPr>
      <t>O</t>
    </r>
    <r>
      <rPr>
        <b/>
        <sz val="12"/>
        <color theme="1"/>
        <rFont val="Calibri"/>
        <family val="3"/>
        <charset val="128"/>
        <scheme val="minor"/>
      </rPr>
      <t>. 56" and must be "N</t>
    </r>
    <r>
      <rPr>
        <b/>
        <sz val="12"/>
        <color rgb="FFFF0000"/>
        <rFont val="Calibri"/>
        <family val="3"/>
        <charset val="128"/>
        <scheme val="minor"/>
      </rPr>
      <t>o</t>
    </r>
    <r>
      <rPr>
        <b/>
        <sz val="12"/>
        <color theme="1"/>
        <rFont val="Calibri"/>
        <family val="3"/>
        <charset val="128"/>
        <scheme val="minor"/>
      </rPr>
      <t>. 56".</t>
    </r>
    <phoneticPr fontId="1"/>
  </si>
  <si>
    <r>
      <t>1830912204 306x58mm 黄色</t>
    </r>
    <r>
      <rPr>
        <b/>
        <sz val="12"/>
        <color theme="1"/>
        <rFont val="Calibri"/>
        <family val="3"/>
        <charset val="134"/>
        <scheme val="minor"/>
      </rPr>
      <t>标签</t>
    </r>
    <r>
      <rPr>
        <b/>
        <sz val="12"/>
        <color theme="1"/>
        <rFont val="Calibri"/>
        <family val="3"/>
        <charset val="128"/>
        <scheme val="minor"/>
      </rPr>
      <t>.pdf</t>
    </r>
    <phoneticPr fontId="1"/>
  </si>
  <si>
    <r>
      <t>1830912204 306x58mm 黄色</t>
    </r>
    <r>
      <rPr>
        <b/>
        <sz val="12"/>
        <color theme="1"/>
        <rFont val="Calibri"/>
        <family val="3"/>
        <charset val="134"/>
        <scheme val="minor"/>
      </rPr>
      <t>标签</t>
    </r>
    <r>
      <rPr>
        <b/>
        <sz val="12"/>
        <color theme="1"/>
        <rFont val="Calibri"/>
        <family val="3"/>
        <charset val="128"/>
        <scheme val="minor"/>
      </rPr>
      <t>2</t>
    </r>
    <phoneticPr fontId="1"/>
  </si>
  <si>
    <t>Please evaluate if this issue can be reproduced in Molex.</t>
    <phoneticPr fontId="1"/>
  </si>
  <si>
    <t>CR</t>
    <phoneticPr fontId="1"/>
  </si>
  <si>
    <t>molex</t>
    <phoneticPr fontId="1"/>
  </si>
  <si>
    <t>Open</t>
    <phoneticPr fontId="1"/>
  </si>
  <si>
    <t xml:space="preserve"> 6</t>
  </si>
  <si>
    <t>SN: H0001, SW: 0.01.0001
Warmup alarm occurs when Pump Laser is ON(PLC 1).
The warmup is removed when the Blade is booted.
However, if the PLC1 (Pump Laser ON) command is executed after the Blade is activated, a warmup alarm occurs.
When a warm up alarm occurs, the warm up alarm is not canceled unless the power is turned ON and OFF.</t>
    <phoneticPr fontId="1"/>
  </si>
  <si>
    <t>LDs do not light when shutdown is released.</t>
    <phoneticPr fontId="1"/>
  </si>
  <si>
    <t>Please evaluate if this issue can be reproduced in Molex. Refer to the following command log.
A similar behavior  was seen in FJT #056 and #072 of L-band raman issue.</t>
    <phoneticPr fontId="1"/>
  </si>
  <si>
    <t>LD temperature does not reach the target value at -5 degC</t>
    <phoneticPr fontId="1"/>
  </si>
  <si>
    <t>MJ</t>
    <phoneticPr fontId="1"/>
  </si>
  <si>
    <t>Addressed</t>
    <phoneticPr fontId="1"/>
  </si>
  <si>
    <t>The requirement error of FAN CLEI label</t>
    <phoneticPr fontId="1"/>
  </si>
  <si>
    <t>Addressed
Date</t>
    <phoneticPr fontId="1"/>
  </si>
  <si>
    <t>molex</t>
    <phoneticPr fontId="1"/>
  </si>
  <si>
    <t>Open</t>
    <phoneticPr fontId="1"/>
  </si>
  <si>
    <t>Mislabeling of the front L160 label</t>
    <phoneticPr fontId="1"/>
  </si>
  <si>
    <t>molex</t>
    <phoneticPr fontId="1"/>
  </si>
  <si>
    <t>Open</t>
    <phoneticPr fontId="1"/>
  </si>
  <si>
    <t>MJ</t>
    <phoneticPr fontId="1"/>
  </si>
  <si>
    <t>molex</t>
    <phoneticPr fontId="1"/>
  </si>
  <si>
    <t>Laser label issue</t>
    <phoneticPr fontId="1"/>
  </si>
  <si>
    <t>Fujitsu</t>
    <phoneticPr fontId="1"/>
  </si>
  <si>
    <t>Warmup is not removed</t>
    <phoneticPr fontId="1"/>
  </si>
  <si>
    <t>LDs do not light when shutdown is released.</t>
    <phoneticPr fontId="1"/>
  </si>
  <si>
    <t>Addressed</t>
    <phoneticPr fontId="1"/>
  </si>
  <si>
    <t>We can reproduce this issue and think it's normal, because for the default state, WDM PD is APSD factor.
1. First, no input light and E1 R input power lower than WDLO alarm threshold(-47.09 &lt; -36.40), generate WDLO alarm. If Pump on(PLC 1), APSD will be executed by WDLO.
2. After inhibit APSD(API 1) and Pump on(PLC 1), E1 R input power higher than WDLO alarm threshold(-28.48 &lt; -36.40), WDLO alarm disappear.
3. Cancel APSD inhibit(API 2), E1 R input power still higher than WDLO alarm threshold(-28.48 &lt; -36.40), so no WDLO alarm as before. APSD can not be executed and pump still on.
4. In this state, if turn Pump off, E1 R input power will lower than WDLO alarm threshold, generate WDLO alarm.
5. If turn Pump on again, APSD will be executed by WDLO.
We suggest that make sure E1 R input power higher than WDLO alarm threshold by connecting the signal light or setting WDLO alarm threshold to eliminate this issue.</t>
  </si>
  <si>
    <t>MN</t>
  </si>
  <si>
    <t>Modify the configuration of switch chip and do not assign MAC address to eth1.</t>
  </si>
  <si>
    <t>The host can communicates with all Raman blades. The host data is transmitted to the next blade through the switch chip. Modify the configuration of switch chip and do not assign MAC address to eth1.</t>
  </si>
  <si>
    <t>Modify the configuration of switch chip.</t>
  </si>
  <si>
    <t xml:space="preserve"> 7</t>
  </si>
  <si>
    <t>Upgrade RU CPLD and warm reset blade, affecte optical traffic</t>
  </si>
  <si>
    <t>8</t>
  </si>
  <si>
    <t>Fixed the bug that the optical traffic of blade is affected, after upgrade RU CPLD and warm reset the blade. When warm reset RU CPLD, CPLD did not lock PD and hard reset Raman module.</t>
  </si>
  <si>
    <t>C1 T output power is given by the Raman module</t>
  </si>
  <si>
    <t>9</t>
  </si>
  <si>
    <t>C1 T output power is given by the Raman module. Blade does not calculate the power and get directly. In the manufacturing process of Raman module, We can directly get C1 T output power.(Optimized manufacturing process)</t>
  </si>
  <si>
    <t>C1 T output power is given by the Raman module. Blade does not calculate the power and get directly. In the manufacturing process of Raman module, We can directly get C1 T output power.(Optimized manufacturing process).</t>
  </si>
  <si>
    <t xml:space="preserve">SN: H0001, SW: 0.01.0001
Raman blade is connected to SMF 60km. After unshutdown, LDs do not light. The expected behavior is that Raman blade detects ASS light and pumps continues to turn on. </t>
  </si>
  <si>
    <t>Fixed the bug that the optical traffic of blade is affected, after upgrade RU CPLD and warm reset the blade. When warm reset RU CPLD, RU CPLD did not lock PDs and hard reset Raman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</si>
</sst>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d;@"/>
    <numFmt numFmtId="165" formatCode="0_);[Red]\(0\)"/>
  </numFmts>
  <fonts count="9">
    <font>
      <sz val="11"/>
      <color theme="1"/>
      <name val="Calibri"/>
      <family val="2"/>
      <charset val="128"/>
      <scheme val="minor"/>
    </font>
    <font>
      <sz val="6"/>
      <name val="Calibri"/>
      <family val="2"/>
      <charset val="128"/>
      <scheme val="minor"/>
    </font>
    <font>
      <b/>
      <sz val="12"/>
      <color theme="1"/>
      <name val="Calibri"/>
      <family val="3"/>
      <charset val="128"/>
      <scheme val="minor"/>
    </font>
    <font>
      <u/>
      <sz val="11"/>
      <color theme="10"/>
      <name val="Calibri"/>
      <family val="2"/>
      <charset val="128"/>
      <scheme val="minor"/>
    </font>
    <font>
      <b/>
      <u/>
      <sz val="16"/>
      <color theme="10"/>
      <name val="Calibri"/>
      <family val="3"/>
      <charset val="128"/>
      <scheme val="minor"/>
    </font>
    <font>
      <b/>
      <sz val="14"/>
      <color rgb="FFFF0000"/>
      <name val="Calibri"/>
      <family val="3"/>
      <charset val="128"/>
      <scheme val="minor"/>
    </font>
    <font>
      <b/>
      <sz val="12"/>
      <color indexed="81"/>
      <name val="ＭＳ Ｐゴシック"/>
      <family val="3"/>
      <charset val="128"/>
    </font>
    <font>
      <b/>
      <sz val="12"/>
      <color theme="1"/>
      <name val="Calibri"/>
      <family val="3"/>
      <charset val="134"/>
      <scheme val="minor"/>
    </font>
    <font>
      <b/>
      <sz val="12"/>
      <color rgb="FFFF0000"/>
      <name val="Calibri"/>
      <family val="3"/>
      <charset val="128"/>
      <scheme val="minor"/>
    </font>
  </fonts>
  <fills count="2">
    <fill>
      <patternFill patternType="none"/>
    </fill>
    <fill>
      <patternFill patternType="gray125"/>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ck">
        <color indexed="64"/>
      </left>
      <right/>
      <top/>
      <bottom/>
      <diagonal/>
    </border>
    <border>
      <left/>
      <right/>
      <top style="thick">
        <color indexed="64"/>
      </top>
      <bottom/>
      <diagonal/>
    </border>
    <border>
      <left style="medium">
        <color indexed="64"/>
      </left>
      <right style="mediumDashed">
        <color indexed="64"/>
      </right>
      <top style="medium">
        <color indexed="64"/>
      </top>
      <bottom style="medium">
        <color indexed="64"/>
      </bottom>
      <diagonal/>
    </border>
    <border>
      <left style="mediumDashed">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style="mediumDashed">
        <color indexed="64"/>
      </left>
      <right style="medium">
        <color indexed="64"/>
      </right>
      <top style="medium">
        <color indexed="64"/>
      </top>
      <bottom style="medium">
        <color indexed="64"/>
      </bottom>
      <diagonal/>
    </border>
    <border>
      <left style="mediumDashed">
        <color indexed="64"/>
      </left>
      <right/>
      <top/>
      <bottom/>
      <diagonal/>
    </border>
    <border>
      <left style="medium">
        <color indexed="64"/>
      </left>
      <right style="thick">
        <color indexed="64"/>
      </right>
      <top/>
      <bottom style="thick">
        <color indexed="64"/>
      </bottom>
      <diagonal/>
    </border>
    <border>
      <left/>
      <right style="thick">
        <color indexed="64"/>
      </right>
      <top/>
      <bottom/>
      <diagonal/>
    </border>
    <border>
      <left style="thick">
        <color indexed="64"/>
      </left>
      <right style="medium">
        <color indexed="64"/>
      </right>
      <top style="mediumDashed">
        <color indexed="64"/>
      </top>
      <bottom style="thick">
        <color indexed="64"/>
      </bottom>
      <diagonal/>
    </border>
    <border>
      <left style="thick">
        <color indexed="64"/>
      </left>
      <right style="medium">
        <color indexed="64"/>
      </right>
      <top style="medium">
        <color indexed="64"/>
      </top>
      <bottom style="mediumDashed">
        <color indexed="64"/>
      </bottom>
      <diagonal/>
    </border>
    <border>
      <left style="medium">
        <color indexed="64"/>
      </left>
      <right style="medium">
        <color indexed="64"/>
      </right>
      <top style="medium">
        <color indexed="64"/>
      </top>
      <bottom style="mediumDashed">
        <color indexed="64"/>
      </bottom>
      <diagonal/>
    </border>
    <border>
      <left style="medium">
        <color indexed="64"/>
      </left>
      <right style="medium">
        <color indexed="64"/>
      </right>
      <top style="mediumDashed">
        <color indexed="64"/>
      </top>
      <bottom style="thick">
        <color indexed="64"/>
      </bottom>
      <diagonal/>
    </border>
    <border>
      <left/>
      <right style="thick">
        <color indexed="64"/>
      </right>
      <top style="medium">
        <color indexed="64"/>
      </top>
      <bottom style="mediumDashed">
        <color indexed="64"/>
      </bottom>
      <diagonal/>
    </border>
    <border>
      <left/>
      <right style="thick">
        <color indexed="64"/>
      </right>
      <top/>
      <bottom style="thick">
        <color indexed="64"/>
      </bottom>
      <diagonal/>
    </border>
    <border>
      <left/>
      <right style="thick">
        <color indexed="64"/>
      </right>
      <top style="thick">
        <color indexed="64"/>
      </top>
      <bottom style="mediumDashed">
        <color indexed="64"/>
      </bottom>
      <diagonal/>
    </border>
    <border>
      <left/>
      <right style="medium">
        <color indexed="64"/>
      </right>
      <top style="thick">
        <color indexed="64"/>
      </top>
      <bottom style="mediumDashed">
        <color indexed="64"/>
      </bottom>
      <diagonal/>
    </border>
    <border>
      <left style="thick">
        <color indexed="64"/>
      </left>
      <right style="medium">
        <color indexed="64"/>
      </right>
      <top style="thick">
        <color indexed="64"/>
      </top>
      <bottom style="mediumDashed">
        <color indexed="64"/>
      </bottom>
      <diagonal/>
    </border>
    <border>
      <left style="thick">
        <color indexed="64"/>
      </left>
      <right style="medium">
        <color indexed="64"/>
      </right>
      <top style="mediumDashed">
        <color indexed="64"/>
      </top>
      <bottom/>
      <diagonal/>
    </border>
    <border>
      <left/>
      <right style="medium">
        <color indexed="64"/>
      </right>
      <top style="mediumDashed">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top style="thick">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Dashed">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Dashed">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10">
    <xf numFmtId="0" fontId="0" fillId="0" borderId="0" xfId="0">
      <alignment vertical="center"/>
    </xf>
    <xf numFmtId="0" fontId="2" fillId="0" borderId="0" xfId="0" applyFont="1">
      <alignment vertical="center"/>
    </xf>
    <xf numFmtId="164" fontId="2" fillId="0" borderId="0" xfId="0" applyNumberFormat="1" applyFont="1">
      <alignment vertical="center"/>
    </xf>
    <xf numFmtId="49" fontId="2" fillId="0" borderId="0" xfId="0" applyNumberFormat="1" applyFont="1">
      <alignment vertical="center"/>
    </xf>
    <xf numFmtId="0" fontId="2" fillId="0" borderId="0" xfId="0" applyFont="1" applyBorder="1">
      <alignment vertical="center"/>
    </xf>
    <xf numFmtId="0" fontId="4" fillId="0" borderId="0" xfId="1" applyFont="1">
      <alignment vertical="center"/>
    </xf>
    <xf numFmtId="0" fontId="2" fillId="0" borderId="6" xfId="0" applyFont="1" applyBorder="1">
      <alignment vertical="center"/>
    </xf>
    <xf numFmtId="0" fontId="2" fillId="0" borderId="7" xfId="0" applyFont="1" applyBorder="1">
      <alignment vertical="center"/>
    </xf>
    <xf numFmtId="0" fontId="2" fillId="0" borderId="8" xfId="0" applyNumberFormat="1" applyFont="1" applyBorder="1">
      <alignment vertical="center"/>
    </xf>
    <xf numFmtId="0" fontId="2" fillId="0" borderId="10" xfId="0" applyNumberFormat="1" applyFont="1" applyBorder="1">
      <alignment vertical="center"/>
    </xf>
    <xf numFmtId="0" fontId="2" fillId="0" borderId="11" xfId="0" applyFont="1" applyBorder="1">
      <alignment vertical="center"/>
    </xf>
    <xf numFmtId="0" fontId="2" fillId="0" borderId="16" xfId="0" applyFont="1" applyBorder="1">
      <alignment vertical="center"/>
    </xf>
    <xf numFmtId="0" fontId="2" fillId="0" borderId="15" xfId="0" applyNumberFormat="1" applyFont="1" applyBorder="1">
      <alignment vertical="center"/>
    </xf>
    <xf numFmtId="0" fontId="2" fillId="0" borderId="17" xfId="0" applyFont="1" applyBorder="1">
      <alignment vertical="center"/>
    </xf>
    <xf numFmtId="0" fontId="2" fillId="0" borderId="4" xfId="0" applyFont="1" applyBorder="1">
      <alignment vertical="center"/>
    </xf>
    <xf numFmtId="0" fontId="2" fillId="0" borderId="4" xfId="0" applyFont="1" applyBorder="1" applyAlignment="1">
      <alignment vertical="center" wrapText="1"/>
    </xf>
    <xf numFmtId="0" fontId="2" fillId="0" borderId="10" xfId="0" applyFont="1" applyBorder="1">
      <alignment vertical="center"/>
    </xf>
    <xf numFmtId="0" fontId="2" fillId="0" borderId="10" xfId="0" applyFont="1" applyBorder="1" applyAlignment="1">
      <alignment vertical="center" wrapText="1"/>
    </xf>
    <xf numFmtId="164" fontId="2" fillId="0" borderId="17" xfId="0" applyNumberFormat="1" applyFont="1" applyBorder="1">
      <alignment vertical="center"/>
    </xf>
    <xf numFmtId="0" fontId="2" fillId="0" borderId="8" xfId="0" applyFont="1" applyBorder="1" applyAlignment="1">
      <alignment vertical="center" wrapText="1"/>
    </xf>
    <xf numFmtId="164" fontId="2" fillId="0" borderId="11" xfId="0" applyNumberFormat="1" applyFont="1" applyBorder="1">
      <alignment vertical="center"/>
    </xf>
    <xf numFmtId="0" fontId="2" fillId="0" borderId="8" xfId="0" applyFont="1" applyBorder="1">
      <alignment vertical="center"/>
    </xf>
    <xf numFmtId="0" fontId="2" fillId="0" borderId="5" xfId="0" applyNumberFormat="1" applyFont="1" applyBorder="1">
      <alignment vertical="center"/>
    </xf>
    <xf numFmtId="0" fontId="2" fillId="0" borderId="19" xfId="0" applyFont="1" applyBorder="1" applyAlignment="1">
      <alignment vertical="center"/>
    </xf>
    <xf numFmtId="0" fontId="2" fillId="0" borderId="0" xfId="0" applyFont="1" applyBorder="1" applyAlignment="1">
      <alignment horizontal="left" vertical="top" wrapText="1"/>
    </xf>
    <xf numFmtId="0" fontId="2" fillId="0" borderId="0" xfId="0" applyNumberFormat="1" applyFont="1">
      <alignment vertical="center"/>
    </xf>
    <xf numFmtId="0" fontId="2" fillId="0" borderId="0" xfId="0" applyFont="1">
      <alignment vertical="center"/>
    </xf>
    <xf numFmtId="0" fontId="2" fillId="0" borderId="1" xfId="0" applyFont="1" applyBorder="1">
      <alignment vertical="center"/>
    </xf>
    <xf numFmtId="0" fontId="2" fillId="0" borderId="20" xfId="0" applyFont="1" applyBorder="1">
      <alignment vertical="center"/>
    </xf>
    <xf numFmtId="165" fontId="2" fillId="0" borderId="21" xfId="0" applyNumberFormat="1" applyFont="1" applyBorder="1">
      <alignment vertical="center"/>
    </xf>
    <xf numFmtId="165" fontId="2" fillId="0" borderId="24" xfId="0" applyNumberFormat="1" applyFont="1" applyBorder="1">
      <alignment vertical="center"/>
    </xf>
    <xf numFmtId="0" fontId="2" fillId="0" borderId="26" xfId="0" applyNumberFormat="1" applyFont="1" applyBorder="1">
      <alignment vertical="center"/>
    </xf>
    <xf numFmtId="0" fontId="2" fillId="0" borderId="24" xfId="0" applyFont="1" applyBorder="1">
      <alignment vertical="center"/>
    </xf>
    <xf numFmtId="0" fontId="2" fillId="0" borderId="22" xfId="0" applyFont="1" applyBorder="1" applyAlignment="1">
      <alignment horizontal="center" vertical="center"/>
    </xf>
    <xf numFmtId="164" fontId="2" fillId="0" borderId="23" xfId="0" applyNumberFormat="1" applyFont="1" applyBorder="1" applyAlignment="1">
      <alignment horizontal="center" vertical="center"/>
    </xf>
    <xf numFmtId="0" fontId="2" fillId="0" borderId="23" xfId="0" applyFont="1" applyBorder="1" applyAlignment="1">
      <alignment horizontal="center" vertical="center"/>
    </xf>
    <xf numFmtId="0" fontId="2" fillId="0" borderId="25" xfId="0" applyNumberFormat="1" applyFont="1" applyBorder="1" applyAlignment="1">
      <alignment horizontal="center" vertical="center"/>
    </xf>
    <xf numFmtId="164" fontId="2" fillId="0" borderId="29" xfId="0" applyNumberFormat="1" applyFont="1" applyBorder="1" applyAlignment="1">
      <alignment horizontal="center" vertical="center"/>
    </xf>
    <xf numFmtId="164" fontId="2" fillId="0" borderId="28" xfId="0" applyNumberFormat="1" applyFont="1" applyBorder="1" applyAlignment="1">
      <alignment horizontal="center" vertical="center"/>
    </xf>
    <xf numFmtId="0" fontId="2" fillId="0" borderId="28" xfId="0" applyFont="1" applyBorder="1" applyAlignment="1">
      <alignment horizontal="center" vertical="center"/>
    </xf>
    <xf numFmtId="0" fontId="2" fillId="0" borderId="27" xfId="0" applyNumberFormat="1" applyFont="1" applyBorder="1" applyAlignment="1">
      <alignment horizontal="center" vertical="center"/>
    </xf>
    <xf numFmtId="0" fontId="5" fillId="0" borderId="0" xfId="0" applyFont="1">
      <alignment vertical="center"/>
    </xf>
    <xf numFmtId="49" fontId="2" fillId="0" borderId="0" xfId="0" applyNumberFormat="1" applyFont="1" applyBorder="1">
      <alignment vertical="center"/>
    </xf>
    <xf numFmtId="164" fontId="2" fillId="0" borderId="0" xfId="0" applyNumberFormat="1" applyFont="1" applyBorder="1">
      <alignment vertical="center"/>
    </xf>
    <xf numFmtId="49" fontId="2" fillId="0" borderId="0" xfId="0" applyNumberFormat="1" applyFont="1" applyFill="1" applyBorder="1">
      <alignment vertical="center"/>
    </xf>
    <xf numFmtId="0" fontId="2" fillId="0" borderId="0" xfId="0" applyFont="1" applyFill="1" applyBorder="1">
      <alignment vertical="center"/>
    </xf>
    <xf numFmtId="164" fontId="2" fillId="0" borderId="0" xfId="0" applyNumberFormat="1" applyFont="1" applyFill="1" applyBorder="1">
      <alignment vertical="center"/>
    </xf>
    <xf numFmtId="0" fontId="0" fillId="0" borderId="0" xfId="0" applyBorder="1">
      <alignment vertical="center"/>
    </xf>
    <xf numFmtId="0" fontId="0" fillId="0" borderId="0" xfId="0" applyFill="1" applyBorder="1">
      <alignment vertical="center"/>
    </xf>
    <xf numFmtId="165" fontId="2" fillId="0" borderId="30" xfId="0" applyNumberFormat="1" applyFont="1" applyBorder="1">
      <alignment vertical="center"/>
    </xf>
    <xf numFmtId="165" fontId="2" fillId="0" borderId="31" xfId="0" applyNumberFormat="1" applyFont="1" applyBorder="1">
      <alignment vertical="center"/>
    </xf>
    <xf numFmtId="0" fontId="2" fillId="0" borderId="31" xfId="0" applyFont="1" applyBorder="1">
      <alignment vertical="center"/>
    </xf>
    <xf numFmtId="0" fontId="2" fillId="0" borderId="20" xfId="0" applyNumberFormat="1" applyFont="1" applyBorder="1">
      <alignment vertical="center"/>
    </xf>
    <xf numFmtId="0" fontId="2" fillId="0" borderId="0" xfId="0" applyFont="1" applyBorder="1" applyAlignment="1">
      <alignment horizontal="left" vertical="top" wrapText="1"/>
    </xf>
    <xf numFmtId="0" fontId="2" fillId="0" borderId="0" xfId="0" applyFont="1" applyBorder="1" applyAlignment="1">
      <alignment horizontal="left" vertical="top" wrapText="1"/>
    </xf>
    <xf numFmtId="49" fontId="2" fillId="0" borderId="32" xfId="0" applyNumberFormat="1" applyFont="1" applyBorder="1" applyAlignment="1">
      <alignment vertical="center"/>
    </xf>
    <xf numFmtId="0" fontId="2" fillId="0" borderId="33" xfId="0" applyFont="1" applyBorder="1" applyAlignment="1">
      <alignment vertical="center"/>
    </xf>
    <xf numFmtId="49" fontId="2" fillId="0" borderId="33" xfId="0" applyNumberFormat="1" applyFont="1" applyBorder="1" applyAlignment="1">
      <alignment horizontal="center" vertical="center" wrapText="1"/>
    </xf>
    <xf numFmtId="0" fontId="2" fillId="0" borderId="33" xfId="0" applyFont="1" applyBorder="1" applyAlignment="1">
      <alignment horizontal="center" vertical="center"/>
    </xf>
    <xf numFmtId="0" fontId="2" fillId="0" borderId="33" xfId="0" applyNumberFormat="1" applyFont="1" applyBorder="1" applyAlignment="1">
      <alignment horizontal="center" vertical="center" wrapText="1"/>
    </xf>
    <xf numFmtId="0" fontId="2" fillId="0" borderId="34" xfId="0" applyFont="1" applyBorder="1">
      <alignment vertical="center"/>
    </xf>
    <xf numFmtId="49" fontId="2" fillId="0" borderId="4" xfId="0" applyNumberFormat="1" applyFont="1" applyFill="1" applyBorder="1">
      <alignment vertical="center"/>
    </xf>
    <xf numFmtId="0" fontId="2" fillId="0" borderId="4" xfId="0" applyFont="1" applyFill="1" applyBorder="1">
      <alignment vertical="center"/>
    </xf>
    <xf numFmtId="164" fontId="2" fillId="0" borderId="4" xfId="0" applyNumberFormat="1" applyFont="1" applyFill="1" applyBorder="1">
      <alignment vertical="center"/>
    </xf>
    <xf numFmtId="164" fontId="2" fillId="0" borderId="1" xfId="0" applyNumberFormat="1" applyFont="1" applyBorder="1">
      <alignment vertical="center"/>
    </xf>
    <xf numFmtId="0" fontId="2" fillId="0" borderId="35" xfId="0" applyFont="1" applyBorder="1" applyAlignment="1">
      <alignment vertical="center" wrapText="1"/>
    </xf>
    <xf numFmtId="0" fontId="2" fillId="0" borderId="1" xfId="0" applyNumberFormat="1" applyFont="1" applyBorder="1">
      <alignment vertical="center"/>
    </xf>
    <xf numFmtId="0" fontId="2" fillId="0" borderId="1" xfId="0" applyFont="1" applyBorder="1" applyAlignment="1">
      <alignment vertical="center"/>
    </xf>
    <xf numFmtId="0" fontId="2" fillId="0" borderId="0" xfId="0" applyFont="1" applyBorder="1" applyAlignment="1">
      <alignment horizontal="left" vertical="top" wrapText="1"/>
    </xf>
    <xf numFmtId="49" fontId="2" fillId="0" borderId="35" xfId="0" applyNumberFormat="1" applyFont="1" applyFill="1" applyBorder="1">
      <alignment vertical="center"/>
    </xf>
    <xf numFmtId="0" fontId="2" fillId="0" borderId="35" xfId="0" applyFont="1" applyFill="1" applyBorder="1">
      <alignment vertical="center"/>
    </xf>
    <xf numFmtId="164" fontId="2" fillId="0" borderId="35" xfId="0" applyNumberFormat="1" applyFont="1" applyFill="1" applyBorder="1">
      <alignment vertical="center"/>
    </xf>
    <xf numFmtId="0" fontId="2" fillId="0" borderId="0" xfId="0" applyFont="1" applyBorder="1" applyAlignment="1">
      <alignment horizontal="left" vertical="top" wrapText="1"/>
    </xf>
    <xf numFmtId="0" fontId="2" fillId="0" borderId="0" xfId="0" applyFont="1" applyBorder="1" applyAlignment="1">
      <alignment horizontal="left" vertical="top" wrapText="1"/>
    </xf>
    <xf numFmtId="0" fontId="2" fillId="0" borderId="0" xfId="0" applyFont="1" applyBorder="1" applyAlignment="1">
      <alignment horizontal="left" vertical="top" wrapText="1"/>
    </xf>
    <xf numFmtId="164" fontId="2" fillId="0" borderId="36" xfId="0" applyNumberFormat="1" applyFont="1" applyBorder="1">
      <alignment vertical="center"/>
    </xf>
    <xf numFmtId="164" fontId="2" fillId="0" borderId="11" xfId="0" applyNumberFormat="1" applyFont="1" applyBorder="1">
      <alignment vertical="center"/>
    </xf>
    <xf numFmtId="0" fontId="2" fillId="0" borderId="46" xfId="0" applyFont="1" applyBorder="1">
      <alignment vertical="center"/>
    </xf>
    <xf numFmtId="0" fontId="2" fillId="0" borderId="47" xfId="0" applyFont="1" applyFill="1" applyBorder="1">
      <alignment vertical="center"/>
    </xf>
    <xf numFmtId="0" fontId="2" fillId="0" borderId="38" xfId="0" applyFont="1" applyBorder="1" applyAlignment="1">
      <alignment horizontal="left" vertical="top" wrapText="1"/>
    </xf>
    <xf numFmtId="0" fontId="2" fillId="0" borderId="39" xfId="0" applyFont="1" applyBorder="1" applyAlignment="1">
      <alignment horizontal="left" vertical="top" wrapText="1"/>
    </xf>
    <xf numFmtId="0" fontId="2" fillId="0" borderId="40" xfId="0" applyFont="1" applyBorder="1" applyAlignment="1">
      <alignment horizontal="left" vertical="top" wrapText="1"/>
    </xf>
    <xf numFmtId="164" fontId="2" fillId="0" borderId="44" xfId="0" applyNumberFormat="1" applyFont="1" applyBorder="1">
      <alignment vertical="center"/>
    </xf>
    <xf numFmtId="164" fontId="2" fillId="0" borderId="45" xfId="0" applyNumberFormat="1" applyFont="1" applyBorder="1">
      <alignment vertical="center"/>
    </xf>
    <xf numFmtId="164" fontId="2" fillId="0" borderId="11" xfId="0" applyNumberFormat="1" applyFont="1" applyBorder="1">
      <alignment vertical="center"/>
    </xf>
    <xf numFmtId="0" fontId="2" fillId="0" borderId="44" xfId="0" applyFont="1" applyBorder="1" applyAlignment="1">
      <alignment horizontal="left" vertical="top" wrapText="1"/>
    </xf>
    <xf numFmtId="0" fontId="2" fillId="0" borderId="45" xfId="0" applyFont="1" applyBorder="1" applyAlignment="1">
      <alignment horizontal="left" vertical="top" wrapText="1"/>
    </xf>
    <xf numFmtId="0" fontId="2" fillId="0" borderId="11" xfId="0" applyFont="1" applyBorder="1" applyAlignment="1">
      <alignment horizontal="left" vertical="top" wrapText="1"/>
    </xf>
    <xf numFmtId="0" fontId="2" fillId="0" borderId="41" xfId="0" applyFont="1" applyBorder="1" applyAlignment="1">
      <alignment horizontal="left" vertical="top" wrapText="1"/>
    </xf>
    <xf numFmtId="0" fontId="2" fillId="0" borderId="42" xfId="0" applyFont="1" applyBorder="1" applyAlignment="1">
      <alignment horizontal="left" vertical="top" wrapText="1"/>
    </xf>
    <xf numFmtId="0" fontId="2" fillId="0" borderId="43" xfId="0" applyFont="1" applyBorder="1" applyAlignment="1">
      <alignment horizontal="left" vertical="top" wrapText="1"/>
    </xf>
    <xf numFmtId="0" fontId="2" fillId="0" borderId="38" xfId="0" applyFont="1" applyBorder="1" applyAlignment="1">
      <alignment horizontal="center" vertical="center"/>
    </xf>
    <xf numFmtId="0" fontId="2" fillId="0" borderId="39" xfId="0" applyFont="1" applyBorder="1" applyAlignment="1">
      <alignment horizontal="center" vertical="center"/>
    </xf>
    <xf numFmtId="0" fontId="2" fillId="0" borderId="40" xfId="0" applyFont="1" applyBorder="1" applyAlignment="1">
      <alignment horizontal="center" vertical="center"/>
    </xf>
    <xf numFmtId="0" fontId="2" fillId="0" borderId="0" xfId="0" applyFont="1" applyBorder="1" applyAlignment="1">
      <alignment horizontal="left" vertical="top" wrapText="1"/>
    </xf>
    <xf numFmtId="0" fontId="2" fillId="0" borderId="37" xfId="0" applyFont="1" applyBorder="1" applyAlignment="1">
      <alignment horizontal="left" vertical="top" wrapText="1"/>
    </xf>
    <xf numFmtId="0" fontId="2" fillId="0" borderId="1" xfId="0" applyFont="1" applyBorder="1" applyAlignment="1">
      <alignment horizontal="left" vertical="top" wrapText="1"/>
    </xf>
    <xf numFmtId="164" fontId="2" fillId="0" borderId="9" xfId="0" applyNumberFormat="1" applyFont="1" applyBorder="1">
      <alignment vertical="center"/>
    </xf>
    <xf numFmtId="164" fontId="2" fillId="0" borderId="2" xfId="0" applyNumberFormat="1" applyFont="1" applyBorder="1">
      <alignment vertical="center"/>
    </xf>
    <xf numFmtId="164" fontId="2" fillId="0" borderId="3" xfId="0" applyNumberFormat="1" applyFont="1" applyBorder="1">
      <alignment vertical="center"/>
    </xf>
    <xf numFmtId="0" fontId="2" fillId="0" borderId="9" xfId="0" applyFont="1" applyBorder="1" applyAlignment="1">
      <alignment horizontal="left" vertical="top" wrapText="1"/>
    </xf>
    <xf numFmtId="0" fontId="2" fillId="0" borderId="2" xfId="0" applyFont="1" applyBorder="1" applyAlignment="1">
      <alignment horizontal="left" vertical="top" wrapText="1"/>
    </xf>
    <xf numFmtId="0" fontId="2" fillId="0" borderId="3" xfId="0" applyFont="1" applyBorder="1" applyAlignment="1">
      <alignment horizontal="left" vertical="top" wrapText="1"/>
    </xf>
    <xf numFmtId="0" fontId="2" fillId="0" borderId="18" xfId="0" applyFont="1" applyBorder="1" applyAlignment="1">
      <alignment horizontal="left" vertical="top" wrapText="1"/>
    </xf>
    <xf numFmtId="0" fontId="2" fillId="0" borderId="1" xfId="0" applyFont="1" applyBorder="1" applyAlignment="1">
      <alignment horizontal="center" vertical="center"/>
    </xf>
    <xf numFmtId="14" fontId="2" fillId="0" borderId="0" xfId="0" applyNumberFormat="1" applyFont="1" applyBorder="1" applyAlignment="1">
      <alignment horizontal="left" vertical="top" wrapText="1"/>
    </xf>
    <xf numFmtId="0" fontId="2" fillId="0" borderId="14"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7" xfId="0" applyFont="1" applyBorder="1" applyAlignment="1">
      <alignment horizontal="left" vertical="top" wrapText="1"/>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488950</xdr:colOff>
      <xdr:row>0</xdr:row>
      <xdr:rowOff>120650</xdr:rowOff>
    </xdr:from>
    <xdr:to>
      <xdr:col>7</xdr:col>
      <xdr:colOff>476250</xdr:colOff>
      <xdr:row>8</xdr:row>
      <xdr:rowOff>107950</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488950" y="120650"/>
          <a:ext cx="4254500" cy="1308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2800" b="1"/>
            <a:t>Action Item Tracker</a:t>
          </a:r>
          <a:r>
            <a:rPr kumimoji="1" lang="en-US" altLang="ja-JP" sz="2800" b="1" baseline="0"/>
            <a:t> </a:t>
          </a:r>
        </a:p>
        <a:p>
          <a:pPr algn="ctr"/>
          <a:r>
            <a:rPr kumimoji="1" lang="en-US" altLang="ja-JP" sz="2800" b="1" baseline="0"/>
            <a:t>(V20.02.3)</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203200</xdr:colOff>
          <xdr:row>0</xdr:row>
          <xdr:rowOff>69850</xdr:rowOff>
        </xdr:from>
        <xdr:to>
          <xdr:col>1</xdr:col>
          <xdr:colOff>793750</xdr:colOff>
          <xdr:row>0</xdr:row>
          <xdr:rowOff>298450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1162050</xdr:colOff>
          <xdr:row>0</xdr:row>
          <xdr:rowOff>69850</xdr:rowOff>
        </xdr:from>
        <xdr:to>
          <xdr:col>1</xdr:col>
          <xdr:colOff>1746250</xdr:colOff>
          <xdr:row>0</xdr:row>
          <xdr:rowOff>298450</xdr:rowOff>
        </xdr:to>
        <xdr:sp macro="" textlink="">
          <xdr:nvSpPr>
            <xdr:cNvPr id="5122" name="CommandButton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438150</xdr:colOff>
      <xdr:row>11</xdr:row>
      <xdr:rowOff>25400</xdr:rowOff>
    </xdr:from>
    <xdr:to>
      <xdr:col>3</xdr:col>
      <xdr:colOff>566716</xdr:colOff>
      <xdr:row>18</xdr:row>
      <xdr:rowOff>107950</xdr:rowOff>
    </xdr:to>
    <xdr:pic>
      <xdr:nvPicPr>
        <xdr:cNvPr id="2" name="図 1" descr="image00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30350" y="3168650"/>
          <a:ext cx="1754166" cy="132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130278</xdr:colOff>
      <xdr:row>3</xdr:row>
      <xdr:rowOff>193469</xdr:rowOff>
    </xdr:from>
    <xdr:to>
      <xdr:col>12</xdr:col>
      <xdr:colOff>1408664</xdr:colOff>
      <xdr:row>3</xdr:row>
      <xdr:rowOff>1135674</xdr:rowOff>
    </xdr:to>
    <xdr:pic>
      <xdr:nvPicPr>
        <xdr:cNvPr id="2" name="図 1" descr="image00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78874" y="1116661"/>
          <a:ext cx="1278386" cy="9422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212864</xdr:colOff>
      <xdr:row>10</xdr:row>
      <xdr:rowOff>12421</xdr:rowOff>
    </xdr:from>
    <xdr:to>
      <xdr:col>5</xdr:col>
      <xdr:colOff>938835</xdr:colOff>
      <xdr:row>93</xdr:row>
      <xdr:rowOff>48553</xdr:rowOff>
    </xdr:to>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212864" y="2770530"/>
          <a:ext cx="5438775" cy="15160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[FJ20191113]</a:t>
          </a:r>
        </a:p>
        <a:p>
          <a:r>
            <a:rPr kumimoji="1" lang="en-US" altLang="ja-JP" sz="1100"/>
            <a:t>&gt;aaBLV</a:t>
          </a:r>
        </a:p>
        <a:p>
          <a:r>
            <a:rPr kumimoji="1" lang="en-US" altLang="ja-JP" sz="1100"/>
            <a:t>aaIssue    : 0.01.0001</a:t>
          </a:r>
        </a:p>
        <a:p>
          <a:r>
            <a:rPr kumimoji="1" lang="en-US" altLang="ja-JP" sz="1100"/>
            <a:t>Software : 0.01.0001</a:t>
          </a:r>
        </a:p>
        <a:p>
          <a:r>
            <a:rPr kumimoji="1" lang="en-US" altLang="ja-JP" sz="1100"/>
            <a:t>Raman    : Ver.0.01 19/10/25</a:t>
          </a:r>
        </a:p>
        <a:p>
          <a:r>
            <a:rPr kumimoji="1" lang="en-US" altLang="ja-JP" sz="1100"/>
            <a:t>LU CPLD1 : 0.01.0001</a:t>
          </a:r>
        </a:p>
        <a:p>
          <a:r>
            <a:rPr kumimoji="1" lang="en-US" altLang="ja-JP" sz="1100"/>
            <a:t>LU CPLD2 : 0.01.0001</a:t>
          </a:r>
        </a:p>
        <a:p>
          <a:r>
            <a:rPr kumimoji="1" lang="en-US" altLang="ja-JP" sz="1100"/>
            <a:t>RU CPLD  : 0.01.0001</a:t>
          </a:r>
        </a:p>
        <a:p>
          <a:r>
            <a:rPr kumimoji="1" lang="en-US" altLang="ja-JP" sz="1100"/>
            <a:t>PCBA     :  01A</a:t>
          </a:r>
        </a:p>
        <a:p>
          <a:r>
            <a:rPr kumimoji="1" lang="en-US" altLang="ja-JP" sz="1100"/>
            <a:t>&gt;</a:t>
          </a:r>
        </a:p>
        <a:p>
          <a:endParaRPr kumimoji="1" lang="en-US" altLang="ja-JP" sz="1100"/>
        </a:p>
        <a:p>
          <a:r>
            <a:rPr kumimoji="1" lang="en-US" altLang="ja-JP" sz="1100"/>
            <a:t>&gt;aaAPP</a:t>
          </a:r>
        </a:p>
        <a:p>
          <a:r>
            <a:rPr kumimoji="1" lang="en-US" altLang="ja-JP" sz="1100"/>
            <a:t>aaNOR</a:t>
          </a:r>
        </a:p>
        <a:p>
          <a:endParaRPr kumimoji="1" lang="en-US" altLang="ja-JP" sz="1100"/>
        </a:p>
        <a:p>
          <a:r>
            <a:rPr kumimoji="1" lang="en-US" altLang="ja-JP" sz="1100"/>
            <a:t>&gt;aaALB</a:t>
          </a:r>
        </a:p>
        <a:p>
          <a:r>
            <a:rPr kumimoji="1" lang="en-US" altLang="ja-JP" sz="1100"/>
            <a:t>aaALM WDLO</a:t>
          </a:r>
        </a:p>
        <a:p>
          <a:endParaRPr kumimoji="1" lang="en-US" altLang="ja-JP" sz="1100"/>
        </a:p>
        <a:p>
          <a:r>
            <a:rPr kumimoji="1" lang="en-US" altLang="ja-JP" sz="1100"/>
            <a:t>&gt;aaOMP 0</a:t>
          </a:r>
        </a:p>
        <a:p>
          <a:r>
            <a:rPr kumimoji="1" lang="en-US" altLang="ja-JP" sz="1100"/>
            <a:t>aaReturn loss 34.45dB</a:t>
          </a:r>
        </a:p>
        <a:p>
          <a:r>
            <a:rPr kumimoji="1" lang="en-US" altLang="ja-JP" sz="1100"/>
            <a:t>E1 R input power -47.09dBm</a:t>
          </a:r>
        </a:p>
        <a:p>
          <a:r>
            <a:rPr kumimoji="1" lang="en-US" altLang="ja-JP" sz="1100"/>
            <a:t>C1 T output power -47.96dBm</a:t>
          </a:r>
        </a:p>
        <a:p>
          <a:r>
            <a:rPr kumimoji="1" lang="en-US" altLang="ja-JP" sz="1100"/>
            <a:t>Pump output power -12.74dBm</a:t>
          </a:r>
        </a:p>
        <a:p>
          <a:endParaRPr kumimoji="1" lang="en-US" altLang="ja-JP" sz="1100"/>
        </a:p>
        <a:p>
          <a:r>
            <a:rPr kumimoji="1" lang="en-US" altLang="ja-JP" sz="1100"/>
            <a:t>--- HREF threshold setting ---</a:t>
          </a:r>
        </a:p>
        <a:p>
          <a:r>
            <a:rPr kumimoji="1" lang="en-US" altLang="ja-JP" sz="1100"/>
            <a:t>&gt;aaOAT 1 17.60</a:t>
          </a:r>
        </a:p>
        <a:p>
          <a:r>
            <a:rPr kumimoji="1" lang="en-US" altLang="ja-JP" sz="1100"/>
            <a:t>aaOK</a:t>
          </a:r>
        </a:p>
        <a:p>
          <a:r>
            <a:rPr kumimoji="1" lang="en-US" altLang="ja-JP" sz="1100"/>
            <a:t>&gt;aaOAH 1 3.00</a:t>
          </a:r>
        </a:p>
        <a:p>
          <a:r>
            <a:rPr kumimoji="1" lang="en-US" altLang="ja-JP" sz="1100"/>
            <a:t>aaOK</a:t>
          </a:r>
        </a:p>
        <a:p>
          <a:endParaRPr kumimoji="1" lang="en-US" altLang="ja-JP" sz="1100"/>
        </a:p>
        <a:p>
          <a:r>
            <a:rPr kumimoji="1" lang="en-US" altLang="ja-JP" sz="1100"/>
            <a:t>--- WDMLOL threshold setting ---</a:t>
          </a:r>
        </a:p>
        <a:p>
          <a:r>
            <a:rPr kumimoji="1" lang="en-US" altLang="ja-JP" sz="1100"/>
            <a:t>&gt;aaOAT 3 -36.40</a:t>
          </a:r>
        </a:p>
        <a:p>
          <a:r>
            <a:rPr kumimoji="1" lang="en-US" altLang="ja-JP" sz="1100"/>
            <a:t>aaOK</a:t>
          </a:r>
        </a:p>
        <a:p>
          <a:r>
            <a:rPr kumimoji="1" lang="en-US" altLang="ja-JP" sz="1100"/>
            <a:t>&gt;aaOAH 3 0.80</a:t>
          </a:r>
        </a:p>
        <a:p>
          <a:r>
            <a:rPr kumimoji="1" lang="en-US" altLang="ja-JP" sz="1100"/>
            <a:t>aaOK</a:t>
          </a:r>
        </a:p>
        <a:p>
          <a:endParaRPr kumimoji="1" lang="en-US" altLang="ja-JP" sz="1100"/>
        </a:p>
        <a:p>
          <a:r>
            <a:rPr kumimoji="1" lang="en-US" altLang="ja-JP" sz="1100"/>
            <a:t>--- LD Power Setting ---</a:t>
          </a:r>
        </a:p>
        <a:p>
          <a:r>
            <a:rPr kumimoji="1" lang="en-US" altLang="ja-JP" sz="1100"/>
            <a:t>&gt;aaAPS 0 P 40.0 P 40.0 P 40.0 P 40.0 P 40.0 P 40.0</a:t>
          </a:r>
        </a:p>
        <a:p>
          <a:r>
            <a:rPr kumimoji="1" lang="en-US" altLang="ja-JP" sz="1100"/>
            <a:t>aaOK</a:t>
          </a:r>
        </a:p>
        <a:p>
          <a:endParaRPr kumimoji="1" lang="en-US" altLang="ja-JP" sz="1100"/>
        </a:p>
        <a:p>
          <a:r>
            <a:rPr kumimoji="1" lang="en-US" altLang="ja-JP" sz="1100"/>
            <a:t>--- Unshutdown --- </a:t>
          </a:r>
        </a:p>
        <a:p>
          <a:r>
            <a:rPr kumimoji="1" lang="en-US" altLang="ja-JP" sz="1100"/>
            <a:t>&gt;aaPLC 1</a:t>
          </a:r>
        </a:p>
        <a:p>
          <a:r>
            <a:rPr kumimoji="1" lang="en-US" altLang="ja-JP" sz="1100"/>
            <a:t>aaOK</a:t>
          </a:r>
        </a:p>
        <a:p>
          <a:r>
            <a:rPr kumimoji="1" lang="en-US" altLang="ja-JP" sz="1100"/>
            <a:t>&gt;</a:t>
          </a:r>
        </a:p>
        <a:p>
          <a:endParaRPr kumimoji="1" lang="en-US" altLang="ja-JP" sz="1100"/>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After</a:t>
          </a:r>
          <a:r>
            <a:rPr kumimoji="1" lang="en-US" altLang="ja-JP" sz="1100" baseline="0">
              <a:solidFill>
                <a:schemeClr val="dk1"/>
              </a:solidFill>
              <a:effectLst/>
              <a:latin typeface="+mn-lt"/>
              <a:ea typeface="+mn-ea"/>
              <a:cs typeface="+mn-cs"/>
            </a:rPr>
            <a:t>  u</a:t>
          </a:r>
          <a:r>
            <a:rPr kumimoji="1" lang="en-US" altLang="ja-JP" sz="1100">
              <a:solidFill>
                <a:schemeClr val="dk1"/>
              </a:solidFill>
              <a:effectLst/>
              <a:latin typeface="+mn-lt"/>
              <a:ea typeface="+mn-ea"/>
              <a:cs typeface="+mn-cs"/>
            </a:rPr>
            <a:t>nshutdown, A</a:t>
          </a:r>
          <a:r>
            <a:rPr kumimoji="1" lang="en-US" altLang="ja-JP" sz="1100"/>
            <a:t>PSD by DMLOL --</a:t>
          </a:r>
        </a:p>
        <a:p>
          <a:r>
            <a:rPr kumimoji="1" lang="en-US" altLang="ja-JP" sz="1100"/>
            <a:t>&gt;aaAPP</a:t>
          </a:r>
        </a:p>
        <a:p>
          <a:r>
            <a:rPr kumimoji="1" lang="en-US" altLang="ja-JP" sz="1100"/>
            <a:t>aaAPS WDLO</a:t>
          </a:r>
        </a:p>
        <a:p>
          <a:r>
            <a:rPr kumimoji="1" lang="en-US" altLang="ja-JP" sz="1100"/>
            <a:t>&gt;</a:t>
          </a:r>
        </a:p>
        <a:p>
          <a:endParaRPr kumimoji="1" lang="en-US" altLang="ja-JP" sz="1100"/>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a:t>
          </a:r>
          <a:r>
            <a:rPr kumimoji="1" lang="en-US" altLang="ja-JP" sz="1100" baseline="0">
              <a:solidFill>
                <a:schemeClr val="dk1"/>
              </a:solidFill>
              <a:effectLst/>
              <a:latin typeface="+mn-lt"/>
              <a:ea typeface="+mn-ea"/>
              <a:cs typeface="+mn-cs"/>
            </a:rPr>
            <a:t> Alarms are WMUP(issue no.5) and </a:t>
          </a:r>
          <a:r>
            <a:rPr kumimoji="1" lang="en-US" altLang="ja-JP" sz="1100">
              <a:solidFill>
                <a:schemeClr val="dk1"/>
              </a:solidFill>
              <a:effectLst/>
              <a:latin typeface="+mn-lt"/>
              <a:ea typeface="+mn-ea"/>
              <a:cs typeface="+mn-cs"/>
            </a:rPr>
            <a:t>WDLO</a:t>
          </a:r>
          <a:r>
            <a:rPr kumimoji="0" lang="en-US" altLang="ja-JP" sz="1100" baseline="0">
              <a:solidFill>
                <a:schemeClr val="dk1"/>
              </a:solidFill>
              <a:effectLst/>
              <a:latin typeface="+mn-lt"/>
              <a:ea typeface="+mn-ea"/>
              <a:cs typeface="+mn-cs"/>
            </a:rPr>
            <a:t> </a:t>
          </a:r>
          <a:r>
            <a:rPr kumimoji="1" lang="en-US" altLang="ja-JP" sz="1100">
              <a:solidFill>
                <a:schemeClr val="dk1"/>
              </a:solidFill>
              <a:effectLst/>
              <a:latin typeface="+mn-lt"/>
              <a:ea typeface="+mn-ea"/>
              <a:cs typeface="+mn-cs"/>
            </a:rPr>
            <a:t>--</a:t>
          </a:r>
          <a:endParaRPr kumimoji="1" lang="en-US" altLang="ja-JP" sz="1100"/>
        </a:p>
        <a:p>
          <a:r>
            <a:rPr kumimoji="1" lang="en-US" altLang="ja-JP" sz="1100"/>
            <a:t>&gt;aaALB</a:t>
          </a:r>
        </a:p>
        <a:p>
          <a:r>
            <a:rPr kumimoji="1" lang="en-US" altLang="ja-JP" sz="1100"/>
            <a:t>aaALM WMUP</a:t>
          </a:r>
        </a:p>
        <a:p>
          <a:r>
            <a:rPr kumimoji="1" lang="en-US" altLang="ja-JP" sz="1100"/>
            <a:t>ALM WDLO</a:t>
          </a:r>
        </a:p>
        <a:p>
          <a:r>
            <a:rPr kumimoji="1" lang="en-US" altLang="ja-JP" sz="1100"/>
            <a:t>&gt;</a:t>
          </a:r>
        </a:p>
        <a:p>
          <a:endParaRPr kumimoji="1" lang="en-US" altLang="ja-JP" sz="1100"/>
        </a:p>
        <a:p>
          <a:r>
            <a:rPr kumimoji="1" lang="en-US" altLang="ja-JP" sz="1100">
              <a:solidFill>
                <a:schemeClr val="dk1"/>
              </a:solidFill>
              <a:effectLst/>
              <a:latin typeface="+mn-lt"/>
              <a:ea typeface="+mn-ea"/>
              <a:cs typeface="+mn-cs"/>
            </a:rPr>
            <a:t>--- </a:t>
          </a:r>
          <a:r>
            <a:rPr kumimoji="1" lang="en-US" altLang="ja-JP" sz="1100"/>
            <a:t>APSD_Inhibit</a:t>
          </a:r>
          <a:r>
            <a:rPr kumimoji="1" lang="en-US" altLang="ja-JP" sz="1100" baseline="0"/>
            <a:t> ---</a:t>
          </a:r>
          <a:endParaRPr kumimoji="1" lang="ja-JP" altLang="en-US" sz="1100"/>
        </a:p>
        <a:p>
          <a:r>
            <a:rPr kumimoji="1" lang="en-US" altLang="ja-JP" sz="1100"/>
            <a:t>&gt;aaAPI 1</a:t>
          </a:r>
        </a:p>
        <a:p>
          <a:r>
            <a:rPr kumimoji="1" lang="en-US" altLang="ja-JP" sz="1100"/>
            <a:t>aaOK</a:t>
          </a:r>
        </a:p>
        <a:p>
          <a:r>
            <a:rPr kumimoji="1" lang="en-US" altLang="ja-JP" sz="1100"/>
            <a:t>&gt;</a:t>
          </a:r>
        </a:p>
        <a:p>
          <a:endParaRPr kumimoji="1" lang="en-US" altLang="ja-JP" sz="1100"/>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Unshutdown --- </a:t>
          </a:r>
          <a:endParaRPr kumimoji="1" lang="en-US" altLang="ja-JP" sz="1100"/>
        </a:p>
        <a:p>
          <a:r>
            <a:rPr kumimoji="1" lang="en-US" altLang="ja-JP" sz="1100"/>
            <a:t>&gt;aaPLC 1</a:t>
          </a:r>
        </a:p>
        <a:p>
          <a:r>
            <a:rPr kumimoji="1" lang="en-US" altLang="ja-JP" sz="1100"/>
            <a:t>aaOK</a:t>
          </a:r>
        </a:p>
        <a:p>
          <a:r>
            <a:rPr kumimoji="1" lang="en-US" altLang="ja-JP" sz="1100"/>
            <a:t>&gt;</a:t>
          </a:r>
        </a:p>
        <a:p>
          <a:endParaRPr kumimoji="1" lang="en-US" altLang="ja-JP" sz="1100"/>
        </a:p>
        <a:p>
          <a:r>
            <a:rPr kumimoji="1" lang="en-US" altLang="ja-JP" sz="1100"/>
            <a:t>---- pump</a:t>
          </a:r>
          <a:r>
            <a:rPr kumimoji="1" lang="en-US" altLang="ja-JP" sz="1100" baseline="0"/>
            <a:t>s are turn on ---</a:t>
          </a:r>
          <a:endParaRPr kumimoji="1" lang="en-US" altLang="ja-JP" sz="1100"/>
        </a:p>
        <a:p>
          <a:r>
            <a:rPr kumimoji="1" lang="en-US" altLang="ja-JP" sz="1100">
              <a:solidFill>
                <a:schemeClr val="dk1"/>
              </a:solidFill>
              <a:effectLst/>
              <a:latin typeface="+mn-lt"/>
              <a:ea typeface="+mn-ea"/>
              <a:cs typeface="+mn-cs"/>
            </a:rPr>
            <a:t>&gt;aaOMP 0</a:t>
          </a:r>
          <a:endParaRPr lang="ja-JP" altLang="ja-JP">
            <a:effectLst/>
          </a:endParaRPr>
        </a:p>
        <a:p>
          <a:r>
            <a:rPr kumimoji="1" lang="en-US" altLang="ja-JP" sz="1100">
              <a:solidFill>
                <a:schemeClr val="dk1"/>
              </a:solidFill>
              <a:effectLst/>
              <a:latin typeface="+mn-lt"/>
              <a:ea typeface="+mn-ea"/>
              <a:cs typeface="+mn-cs"/>
            </a:rPr>
            <a:t>aaReturn loss 31.92dB</a:t>
          </a:r>
          <a:endParaRPr lang="ja-JP" altLang="ja-JP">
            <a:effectLst/>
          </a:endParaRPr>
        </a:p>
        <a:p>
          <a:r>
            <a:rPr kumimoji="1" lang="en-US" altLang="ja-JP" sz="1100">
              <a:solidFill>
                <a:schemeClr val="dk1"/>
              </a:solidFill>
              <a:effectLst/>
              <a:latin typeface="+mn-lt"/>
              <a:ea typeface="+mn-ea"/>
              <a:cs typeface="+mn-cs"/>
            </a:rPr>
            <a:t>E1 R input power -28.48dBm</a:t>
          </a:r>
          <a:endParaRPr lang="ja-JP" altLang="ja-JP">
            <a:effectLst/>
          </a:endParaRPr>
        </a:p>
        <a:p>
          <a:r>
            <a:rPr kumimoji="1" lang="en-US" altLang="ja-JP" sz="1100">
              <a:solidFill>
                <a:schemeClr val="dk1"/>
              </a:solidFill>
              <a:effectLst/>
              <a:latin typeface="+mn-lt"/>
              <a:ea typeface="+mn-ea"/>
              <a:cs typeface="+mn-cs"/>
            </a:rPr>
            <a:t>C1 T output power -29.34dBm</a:t>
          </a:r>
          <a:endParaRPr lang="ja-JP" altLang="ja-JP">
            <a:effectLst/>
          </a:endParaRPr>
        </a:p>
        <a:p>
          <a:r>
            <a:rPr kumimoji="1" lang="en-US" altLang="ja-JP" sz="1100">
              <a:solidFill>
                <a:schemeClr val="dk1"/>
              </a:solidFill>
              <a:effectLst/>
              <a:latin typeface="+mn-lt"/>
              <a:ea typeface="+mn-ea"/>
              <a:cs typeface="+mn-cs"/>
            </a:rPr>
            <a:t>Pump output power 23.76dBm</a:t>
          </a:r>
          <a:endParaRPr lang="ja-JP" altLang="ja-JP">
            <a:effectLst/>
          </a:endParaRPr>
        </a:p>
        <a:p>
          <a:endParaRPr kumimoji="1" lang="en-US" altLang="ja-JP" sz="1100"/>
        </a:p>
        <a:p>
          <a:endParaRPr kumimoji="1" lang="en-US" altLang="ja-JP" sz="1100"/>
        </a:p>
        <a:p>
          <a:pPr eaLnBrk="1" fontAlgn="auto" latinLnBrk="0" hangingPunct="1"/>
          <a:r>
            <a:rPr kumimoji="1" lang="en-US" altLang="ja-JP" sz="1100">
              <a:solidFill>
                <a:schemeClr val="dk1"/>
              </a:solidFill>
              <a:effectLst/>
              <a:latin typeface="+mn-lt"/>
              <a:ea typeface="+mn-ea"/>
              <a:cs typeface="+mn-cs"/>
            </a:rPr>
            <a:t>--- APSD</a:t>
          </a:r>
          <a:r>
            <a:rPr kumimoji="1" lang="en-US" altLang="ja-JP" sz="1100" baseline="0">
              <a:solidFill>
                <a:schemeClr val="dk1"/>
              </a:solidFill>
              <a:effectLst/>
              <a:latin typeface="+mn-lt"/>
              <a:ea typeface="+mn-ea"/>
              <a:cs typeface="+mn-cs"/>
            </a:rPr>
            <a:t> status is inhibit</a:t>
          </a:r>
          <a:r>
            <a:rPr kumimoji="1" lang="en-US" altLang="ja-JP" sz="1100">
              <a:solidFill>
                <a:schemeClr val="dk1"/>
              </a:solidFill>
              <a:effectLst/>
              <a:latin typeface="+mn-lt"/>
              <a:ea typeface="+mn-ea"/>
              <a:cs typeface="+mn-cs"/>
            </a:rPr>
            <a:t> --- </a:t>
          </a:r>
          <a:endParaRPr lang="ja-JP" altLang="ja-JP">
            <a:effectLst/>
          </a:endParaRPr>
        </a:p>
        <a:p>
          <a:r>
            <a:rPr kumimoji="1" lang="en-US" altLang="ja-JP" sz="1100"/>
            <a:t>&gt;aaAPP</a:t>
          </a:r>
        </a:p>
        <a:p>
          <a:r>
            <a:rPr kumimoji="1" lang="en-US" altLang="ja-JP" sz="1100"/>
            <a:t>aaINH</a:t>
          </a:r>
        </a:p>
        <a:p>
          <a:r>
            <a:rPr kumimoji="1" lang="en-US" altLang="ja-JP" sz="1100"/>
            <a:t>&gt;</a:t>
          </a:r>
        </a:p>
        <a:p>
          <a:endParaRPr kumimoji="1" lang="en-US" altLang="ja-JP" sz="1100"/>
        </a:p>
        <a:p>
          <a:r>
            <a:rPr kumimoji="1" lang="en-US" altLang="ja-JP" sz="1100">
              <a:solidFill>
                <a:schemeClr val="dk1"/>
              </a:solidFill>
              <a:effectLst/>
              <a:latin typeface="+mn-lt"/>
              <a:ea typeface="+mn-ea"/>
              <a:cs typeface="+mn-cs"/>
            </a:rPr>
            <a:t>---- After APSD_INH  is canceled ---</a:t>
          </a:r>
        </a:p>
        <a:p>
          <a:r>
            <a:rPr kumimoji="1" lang="en-US" altLang="ja-JP" sz="1100"/>
            <a:t>&gt;aaAPI 2</a:t>
          </a:r>
        </a:p>
        <a:p>
          <a:r>
            <a:rPr kumimoji="1" lang="en-US" altLang="ja-JP" sz="1100"/>
            <a:t>aaOK</a:t>
          </a:r>
        </a:p>
        <a:p>
          <a:r>
            <a:rPr kumimoji="1" lang="en-US" altLang="ja-JP" sz="1100"/>
            <a:t>&gt;</a:t>
          </a:r>
        </a:p>
        <a:p>
          <a:r>
            <a:rPr kumimoji="1" lang="en-US" altLang="ja-JP" sz="1100">
              <a:solidFill>
                <a:schemeClr val="dk1"/>
              </a:solidFill>
              <a:effectLst/>
              <a:latin typeface="+mn-lt"/>
              <a:ea typeface="+mn-ea"/>
              <a:cs typeface="+mn-cs"/>
            </a:rPr>
            <a:t>---- After APSD_INH  is canceled, pumps are tuen on</a:t>
          </a:r>
          <a:r>
            <a:rPr kumimoji="1" lang="en-US" altLang="ja-JP" sz="1100" baseline="0">
              <a:solidFill>
                <a:schemeClr val="dk1"/>
              </a:solidFill>
              <a:effectLst/>
              <a:latin typeface="+mn-lt"/>
              <a:ea typeface="+mn-ea"/>
              <a:cs typeface="+mn-cs"/>
            </a:rPr>
            <a:t> ---</a:t>
          </a:r>
          <a:endParaRPr lang="ja-JP" altLang="ja-JP">
            <a:effectLst/>
          </a:endParaRPr>
        </a:p>
        <a:p>
          <a:r>
            <a:rPr kumimoji="1" lang="en-US" altLang="ja-JP" sz="1100">
              <a:solidFill>
                <a:schemeClr val="dk1"/>
              </a:solidFill>
              <a:effectLst/>
              <a:latin typeface="+mn-lt"/>
              <a:ea typeface="+mn-ea"/>
              <a:cs typeface="+mn-cs"/>
            </a:rPr>
            <a:t>&gt;aaOMP 0</a:t>
          </a:r>
          <a:endParaRPr lang="ja-JP" altLang="ja-JP">
            <a:effectLst/>
          </a:endParaRPr>
        </a:p>
        <a:p>
          <a:r>
            <a:rPr kumimoji="1" lang="en-US" altLang="ja-JP" sz="1100">
              <a:solidFill>
                <a:schemeClr val="dk1"/>
              </a:solidFill>
              <a:effectLst/>
              <a:latin typeface="+mn-lt"/>
              <a:ea typeface="+mn-ea"/>
              <a:cs typeface="+mn-cs"/>
            </a:rPr>
            <a:t>aaReturn loss 31.92dB</a:t>
          </a:r>
          <a:endParaRPr lang="ja-JP" altLang="ja-JP">
            <a:effectLst/>
          </a:endParaRPr>
        </a:p>
        <a:p>
          <a:r>
            <a:rPr kumimoji="1" lang="en-US" altLang="ja-JP" sz="1100">
              <a:solidFill>
                <a:schemeClr val="dk1"/>
              </a:solidFill>
              <a:effectLst/>
              <a:latin typeface="+mn-lt"/>
              <a:ea typeface="+mn-ea"/>
              <a:cs typeface="+mn-cs"/>
            </a:rPr>
            <a:t>E1 R input power -28.48dBm</a:t>
          </a:r>
          <a:endParaRPr lang="ja-JP" altLang="ja-JP">
            <a:effectLst/>
          </a:endParaRPr>
        </a:p>
        <a:p>
          <a:r>
            <a:rPr kumimoji="1" lang="en-US" altLang="ja-JP" sz="1100">
              <a:solidFill>
                <a:schemeClr val="dk1"/>
              </a:solidFill>
              <a:effectLst/>
              <a:latin typeface="+mn-lt"/>
              <a:ea typeface="+mn-ea"/>
              <a:cs typeface="+mn-cs"/>
            </a:rPr>
            <a:t>C1 T output power -29.34dBm</a:t>
          </a:r>
          <a:endParaRPr lang="ja-JP" altLang="ja-JP">
            <a:effectLst/>
          </a:endParaRPr>
        </a:p>
        <a:p>
          <a:r>
            <a:rPr kumimoji="1" lang="en-US" altLang="ja-JP" sz="1100">
              <a:solidFill>
                <a:schemeClr val="dk1"/>
              </a:solidFill>
              <a:effectLst/>
              <a:latin typeface="+mn-lt"/>
              <a:ea typeface="+mn-ea"/>
              <a:cs typeface="+mn-cs"/>
            </a:rPr>
            <a:t>Pump output power 23.76dBm</a:t>
          </a:r>
          <a:endParaRPr lang="ja-JP" altLang="ja-JP">
            <a:effectLst/>
          </a:endParaRPr>
        </a:p>
        <a:p>
          <a:endParaRPr kumimoji="1" lang="en-US" altLang="ja-JP"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447260</xdr:colOff>
      <xdr:row>8</xdr:row>
      <xdr:rowOff>16455</xdr:rowOff>
    </xdr:from>
    <xdr:to>
      <xdr:col>7</xdr:col>
      <xdr:colOff>609876</xdr:colOff>
      <xdr:row>16</xdr:row>
      <xdr:rowOff>45005</xdr:rowOff>
    </xdr:to>
    <xdr:grpSp>
      <xdr:nvGrpSpPr>
        <xdr:cNvPr id="2" name="Group 6">
          <a:extLst>
            <a:ext uri="{FF2B5EF4-FFF2-40B4-BE49-F238E27FC236}">
              <a16:creationId xmlns:a16="http://schemas.microsoft.com/office/drawing/2014/main" id="{00000000-0008-0000-0800-000002000000}"/>
            </a:ext>
          </a:extLst>
        </xdr:cNvPr>
        <xdr:cNvGrpSpPr>
          <a:grpSpLocks noChangeAspect="1"/>
        </xdr:cNvGrpSpPr>
      </xdr:nvGrpSpPr>
      <xdr:grpSpPr bwMode="auto">
        <a:xfrm>
          <a:off x="447260" y="2683455"/>
          <a:ext cx="6148181" cy="1618811"/>
          <a:chOff x="4326" y="3320"/>
          <a:chExt cx="5200" cy="1281"/>
        </a:xfrm>
      </xdr:grpSpPr>
      <xdr:sp macro="" textlink="">
        <xdr:nvSpPr>
          <xdr:cNvPr id="3" name="AutoShape 22">
            <a:extLst>
              <a:ext uri="{FF2B5EF4-FFF2-40B4-BE49-F238E27FC236}">
                <a16:creationId xmlns:a16="http://schemas.microsoft.com/office/drawing/2014/main" id="{00000000-0008-0000-0800-000003000000}"/>
              </a:ext>
            </a:extLst>
          </xdr:cNvPr>
          <xdr:cNvSpPr>
            <a:spLocks noChangeAspect="1" noChangeArrowheads="1" noTextEdit="1"/>
          </xdr:cNvSpPr>
        </xdr:nvSpPr>
        <xdr:spPr bwMode="auto">
          <a:xfrm>
            <a:off x="4326" y="3320"/>
            <a:ext cx="5200" cy="1281"/>
          </a:xfrm>
          <a:prstGeom prst="rect">
            <a:avLst/>
          </a:prstGeom>
          <a:noFill/>
          <a:extLst>
            <a:ext uri="{909E8E84-426E-40DD-AFC4-6F175D3DCCD1}">
              <a14:hiddenFill xmlns:a14="http://schemas.microsoft.com/office/drawing/2010/main">
                <a:solidFill>
                  <a:srgbClr val="FFFFFF"/>
                </a:solidFill>
              </a14:hiddenFill>
            </a:ext>
          </a:extLst>
        </xdr:spPr>
        <xdr:txBody>
          <a:bodyPr/>
          <a:lstStyle/>
          <a:p>
            <a:r>
              <a:rPr lang="en-US"/>
              <a:t>C+L Raman Blade Switch flow chart</a:t>
            </a:r>
          </a:p>
        </xdr:txBody>
      </xdr:sp>
      <xdr:sp macro="" textlink="">
        <xdr:nvSpPr>
          <xdr:cNvPr id="4" name="Rectangle 21">
            <a:extLst>
              <a:ext uri="{FF2B5EF4-FFF2-40B4-BE49-F238E27FC236}">
                <a16:creationId xmlns:a16="http://schemas.microsoft.com/office/drawing/2014/main" id="{00000000-0008-0000-0800-000004000000}"/>
              </a:ext>
            </a:extLst>
          </xdr:cNvPr>
          <xdr:cNvSpPr>
            <a:spLocks noChangeArrowheads="1"/>
          </xdr:cNvSpPr>
        </xdr:nvSpPr>
        <xdr:spPr bwMode="auto">
          <a:xfrm>
            <a:off x="5087" y="3522"/>
            <a:ext cx="1312" cy="946"/>
          </a:xfrm>
          <a:prstGeom prst="rect">
            <a:avLst/>
          </a:prstGeom>
          <a:gradFill rotWithShape="0">
            <a:gsLst>
              <a:gs pos="0">
                <a:srgbClr val="FFFFFF"/>
              </a:gs>
              <a:gs pos="100000">
                <a:srgbClr val="C5E0B3"/>
              </a:gs>
            </a:gsLst>
            <a:lin ang="5400000" scaled="1"/>
          </a:gradFill>
          <a:ln w="12700">
            <a:solidFill>
              <a:srgbClr val="A8D08D"/>
            </a:solidFill>
            <a:miter lim="800000"/>
            <a:headEnd/>
            <a:tailEnd/>
          </a:ln>
          <a:effectLst>
            <a:outerShdw dist="28398" dir="3806097" algn="ctr" rotWithShape="0">
              <a:srgbClr val="375623">
                <a:alpha val="50000"/>
              </a:srgbClr>
            </a:outerShdw>
          </a:effectLst>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 </a:t>
            </a:r>
            <a:endParaRPr lang="en-US" sz="1200" b="0" i="0" u="none" strike="noStrike" baseline="0">
              <a:solidFill>
                <a:srgbClr val="000000"/>
              </a:solidFill>
              <a:latin typeface="Calibri"/>
              <a:cs typeface="Calibri"/>
            </a:endParaRPr>
          </a:p>
          <a:p>
            <a:pPr algn="l" rtl="0">
              <a:defRPr sz="1000"/>
            </a:pPr>
            <a:r>
              <a:rPr lang="en-US" sz="1200" b="0" i="0" u="none" strike="noStrike" baseline="0">
                <a:solidFill>
                  <a:srgbClr val="000000"/>
                </a:solidFill>
                <a:latin typeface="Times New Roman"/>
                <a:cs typeface="Times New Roman"/>
              </a:rPr>
              <a:t> </a:t>
            </a:r>
            <a:endParaRPr lang="en-US" sz="1200" b="0" i="0" u="none" strike="noStrike" baseline="0">
              <a:solidFill>
                <a:srgbClr val="000000"/>
              </a:solidFill>
              <a:latin typeface="Calibri"/>
              <a:cs typeface="Calibri"/>
            </a:endParaRPr>
          </a:p>
          <a:p>
            <a:pPr algn="l" rtl="0">
              <a:defRPr sz="1000"/>
            </a:pPr>
            <a:r>
              <a:rPr lang="en-US" sz="1200" b="0" i="0" u="none" strike="noStrike" baseline="0">
                <a:solidFill>
                  <a:srgbClr val="000000"/>
                </a:solidFill>
                <a:latin typeface="Times New Roman"/>
                <a:cs typeface="Times New Roman"/>
              </a:rPr>
              <a:t>Switch</a:t>
            </a:r>
          </a:p>
        </xdr:txBody>
      </xdr:sp>
      <xdr:sp macro="" textlink="">
        <xdr:nvSpPr>
          <xdr:cNvPr id="5" name="Rectangle 20">
            <a:extLst>
              <a:ext uri="{FF2B5EF4-FFF2-40B4-BE49-F238E27FC236}">
                <a16:creationId xmlns:a16="http://schemas.microsoft.com/office/drawing/2014/main" id="{00000000-0008-0000-0800-000005000000}"/>
              </a:ext>
            </a:extLst>
          </xdr:cNvPr>
          <xdr:cNvSpPr>
            <a:spLocks noChangeArrowheads="1"/>
          </xdr:cNvSpPr>
        </xdr:nvSpPr>
        <xdr:spPr bwMode="auto">
          <a:xfrm>
            <a:off x="7453" y="3522"/>
            <a:ext cx="1314" cy="946"/>
          </a:xfrm>
          <a:prstGeom prst="rect">
            <a:avLst/>
          </a:prstGeom>
          <a:gradFill rotWithShape="0">
            <a:gsLst>
              <a:gs pos="0">
                <a:srgbClr val="FFFFFF"/>
              </a:gs>
              <a:gs pos="100000">
                <a:srgbClr val="BDD6EE"/>
              </a:gs>
            </a:gsLst>
            <a:lin ang="5400000" scaled="1"/>
          </a:gradFill>
          <a:ln w="12700">
            <a:solidFill>
              <a:srgbClr val="9CC2E5"/>
            </a:solidFill>
            <a:miter lim="800000"/>
            <a:headEnd/>
            <a:tailEnd/>
          </a:ln>
          <a:effectLst>
            <a:outerShdw dist="28398" dir="3806097" algn="ctr" rotWithShape="0">
              <a:srgbClr val="1F4D78">
                <a:alpha val="50000"/>
              </a:srgbClr>
            </a:outerShdw>
          </a:effectLst>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 </a:t>
            </a:r>
            <a:endParaRPr lang="en-US" sz="1200" b="0" i="0" u="none" strike="noStrike" baseline="0">
              <a:solidFill>
                <a:srgbClr val="000000"/>
              </a:solidFill>
              <a:latin typeface="Calibri"/>
              <a:cs typeface="Calibri"/>
            </a:endParaRPr>
          </a:p>
          <a:p>
            <a:pPr algn="l" rtl="0">
              <a:defRPr sz="1000"/>
            </a:pPr>
            <a:r>
              <a:rPr lang="en-US" sz="1200" b="0" i="0" u="none" strike="noStrike" baseline="0">
                <a:solidFill>
                  <a:srgbClr val="000000"/>
                </a:solidFill>
                <a:latin typeface="Times New Roman"/>
                <a:cs typeface="Times New Roman"/>
              </a:rPr>
              <a:t> </a:t>
            </a:r>
            <a:endParaRPr lang="en-US" sz="1200" b="0" i="0" u="none" strike="noStrike" baseline="0">
              <a:solidFill>
                <a:srgbClr val="000000"/>
              </a:solidFill>
              <a:latin typeface="Calibri"/>
              <a:cs typeface="Calibri"/>
            </a:endParaRPr>
          </a:p>
          <a:p>
            <a:pPr algn="l" rtl="0">
              <a:defRPr sz="1000"/>
            </a:pPr>
            <a:r>
              <a:rPr lang="en-US" sz="1200" b="0" i="0" u="none" strike="noStrike" baseline="0">
                <a:solidFill>
                  <a:srgbClr val="000000"/>
                </a:solidFill>
                <a:latin typeface="Times New Roman"/>
                <a:cs typeface="Times New Roman"/>
              </a:rPr>
              <a:t>CPU</a:t>
            </a:r>
          </a:p>
        </xdr:txBody>
      </xdr:sp>
      <xdr:sp macro="" textlink="">
        <xdr:nvSpPr>
          <xdr:cNvPr id="6" name="AutoShape 19">
            <a:extLst>
              <a:ext uri="{FF2B5EF4-FFF2-40B4-BE49-F238E27FC236}">
                <a16:creationId xmlns:a16="http://schemas.microsoft.com/office/drawing/2014/main" id="{00000000-0008-0000-0800-000006000000}"/>
              </a:ext>
            </a:extLst>
          </xdr:cNvPr>
          <xdr:cNvSpPr>
            <a:spLocks noChangeShapeType="1"/>
          </xdr:cNvSpPr>
        </xdr:nvSpPr>
        <xdr:spPr bwMode="auto">
          <a:xfrm>
            <a:off x="6399" y="3757"/>
            <a:ext cx="1054" cy="1"/>
          </a:xfrm>
          <a:prstGeom prst="straightConnector1">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 name="AutoShape 18">
            <a:extLst>
              <a:ext uri="{FF2B5EF4-FFF2-40B4-BE49-F238E27FC236}">
                <a16:creationId xmlns:a16="http://schemas.microsoft.com/office/drawing/2014/main" id="{00000000-0008-0000-0800-000007000000}"/>
              </a:ext>
            </a:extLst>
          </xdr:cNvPr>
          <xdr:cNvSpPr>
            <a:spLocks noChangeShapeType="1"/>
          </xdr:cNvSpPr>
        </xdr:nvSpPr>
        <xdr:spPr bwMode="auto">
          <a:xfrm flipH="1">
            <a:off x="4719" y="3755"/>
            <a:ext cx="368" cy="2"/>
          </a:xfrm>
          <a:prstGeom prst="straightConnector1">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8" name="AutoShape 17">
            <a:extLst>
              <a:ext uri="{FF2B5EF4-FFF2-40B4-BE49-F238E27FC236}">
                <a16:creationId xmlns:a16="http://schemas.microsoft.com/office/drawing/2014/main" id="{00000000-0008-0000-0800-000008000000}"/>
              </a:ext>
            </a:extLst>
          </xdr:cNvPr>
          <xdr:cNvSpPr>
            <a:spLocks noChangeShapeType="1"/>
          </xdr:cNvSpPr>
        </xdr:nvSpPr>
        <xdr:spPr bwMode="auto">
          <a:xfrm flipH="1">
            <a:off x="4719" y="4261"/>
            <a:ext cx="368" cy="2"/>
          </a:xfrm>
          <a:prstGeom prst="straightConnector1">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 name="AutoShape 16">
            <a:extLst>
              <a:ext uri="{FF2B5EF4-FFF2-40B4-BE49-F238E27FC236}">
                <a16:creationId xmlns:a16="http://schemas.microsoft.com/office/drawing/2014/main" id="{00000000-0008-0000-0800-000009000000}"/>
              </a:ext>
            </a:extLst>
          </xdr:cNvPr>
          <xdr:cNvSpPr>
            <a:spLocks noChangeShapeType="1"/>
          </xdr:cNvSpPr>
        </xdr:nvSpPr>
        <xdr:spPr bwMode="auto">
          <a:xfrm>
            <a:off x="5087" y="3757"/>
            <a:ext cx="1312" cy="1"/>
          </a:xfrm>
          <a:prstGeom prst="straightConnector1">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 name="AutoShape 15">
            <a:extLst>
              <a:ext uri="{FF2B5EF4-FFF2-40B4-BE49-F238E27FC236}">
                <a16:creationId xmlns:a16="http://schemas.microsoft.com/office/drawing/2014/main" id="{00000000-0008-0000-0800-00000A000000}"/>
              </a:ext>
            </a:extLst>
          </xdr:cNvPr>
          <xdr:cNvSpPr>
            <a:spLocks noChangeShapeType="1"/>
          </xdr:cNvSpPr>
        </xdr:nvSpPr>
        <xdr:spPr bwMode="auto">
          <a:xfrm flipV="1">
            <a:off x="5087" y="3777"/>
            <a:ext cx="1252" cy="482"/>
          </a:xfrm>
          <a:prstGeom prst="straightConnector1">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1" name="AutoShape 14">
            <a:extLst>
              <a:ext uri="{FF2B5EF4-FFF2-40B4-BE49-F238E27FC236}">
                <a16:creationId xmlns:a16="http://schemas.microsoft.com/office/drawing/2014/main" id="{00000000-0008-0000-0800-00000B000000}"/>
              </a:ext>
            </a:extLst>
          </xdr:cNvPr>
          <xdr:cNvSpPr>
            <a:spLocks noChangeShapeType="1"/>
          </xdr:cNvSpPr>
        </xdr:nvSpPr>
        <xdr:spPr bwMode="auto">
          <a:xfrm>
            <a:off x="6399" y="4260"/>
            <a:ext cx="1054" cy="1"/>
          </a:xfrm>
          <a:prstGeom prst="straightConnector1">
            <a:avLst/>
          </a:prstGeom>
          <a:noFill/>
          <a:ln w="9525">
            <a:solidFill>
              <a:srgbClr val="000000"/>
            </a:solidFill>
            <a:prstDash val="dash"/>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2" name="AutoShape 13">
            <a:extLst>
              <a:ext uri="{FF2B5EF4-FFF2-40B4-BE49-F238E27FC236}">
                <a16:creationId xmlns:a16="http://schemas.microsoft.com/office/drawing/2014/main" id="{00000000-0008-0000-0800-00000C000000}"/>
              </a:ext>
            </a:extLst>
          </xdr:cNvPr>
          <xdr:cNvSpPr>
            <a:spLocks noChangeShapeType="1"/>
          </xdr:cNvSpPr>
        </xdr:nvSpPr>
        <xdr:spPr bwMode="auto">
          <a:xfrm>
            <a:off x="6832" y="4185"/>
            <a:ext cx="247" cy="200"/>
          </a:xfrm>
          <a:prstGeom prst="straightConnector1">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13" name="AutoShape 12">
            <a:extLst>
              <a:ext uri="{FF2B5EF4-FFF2-40B4-BE49-F238E27FC236}">
                <a16:creationId xmlns:a16="http://schemas.microsoft.com/office/drawing/2014/main" id="{00000000-0008-0000-0800-00000D000000}"/>
              </a:ext>
            </a:extLst>
          </xdr:cNvPr>
          <xdr:cNvSpPr>
            <a:spLocks noChangeShapeType="1"/>
          </xdr:cNvSpPr>
        </xdr:nvSpPr>
        <xdr:spPr bwMode="auto">
          <a:xfrm flipV="1">
            <a:off x="6832" y="4138"/>
            <a:ext cx="207" cy="247"/>
          </a:xfrm>
          <a:prstGeom prst="straightConnector1">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14" name="Freeform 11">
            <a:extLst>
              <a:ext uri="{FF2B5EF4-FFF2-40B4-BE49-F238E27FC236}">
                <a16:creationId xmlns:a16="http://schemas.microsoft.com/office/drawing/2014/main" id="{00000000-0008-0000-0800-00000E000000}"/>
              </a:ext>
            </a:extLst>
          </xdr:cNvPr>
          <xdr:cNvSpPr>
            <a:spLocks/>
          </xdr:cNvSpPr>
        </xdr:nvSpPr>
        <xdr:spPr bwMode="auto">
          <a:xfrm>
            <a:off x="5087" y="3755"/>
            <a:ext cx="200" cy="504"/>
          </a:xfrm>
          <a:custGeom>
            <a:avLst/>
            <a:gdLst>
              <a:gd name="T0" fmla="*/ 0 w 359"/>
              <a:gd name="T1" fmla="*/ 907 h 907"/>
              <a:gd name="T2" fmla="*/ 359 w 359"/>
              <a:gd name="T3" fmla="*/ 342 h 907"/>
              <a:gd name="T4" fmla="*/ 0 w 359"/>
              <a:gd name="T5" fmla="*/ 0 h 907"/>
            </a:gdLst>
            <a:ahLst/>
            <a:cxnLst>
              <a:cxn ang="0">
                <a:pos x="T0" y="T1"/>
              </a:cxn>
              <a:cxn ang="0">
                <a:pos x="T2" y="T3"/>
              </a:cxn>
              <a:cxn ang="0">
                <a:pos x="T4" y="T5"/>
              </a:cxn>
            </a:cxnLst>
            <a:rect l="0" t="0" r="r" b="b"/>
            <a:pathLst>
              <a:path w="359" h="907">
                <a:moveTo>
                  <a:pt x="0" y="907"/>
                </a:moveTo>
                <a:cubicBezTo>
                  <a:pt x="179" y="700"/>
                  <a:pt x="359" y="493"/>
                  <a:pt x="359" y="342"/>
                </a:cubicBezTo>
                <a:cubicBezTo>
                  <a:pt x="359" y="191"/>
                  <a:pt x="179" y="95"/>
                  <a:pt x="0" y="0"/>
                </a:cubicBezTo>
              </a:path>
            </a:pathLst>
          </a:custGeom>
          <a:noFill/>
          <a:ln w="9525">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sp macro="" textlink="">
        <xdr:nvSpPr>
          <xdr:cNvPr id="15" name="Text Box 10">
            <a:extLst>
              <a:ext uri="{FF2B5EF4-FFF2-40B4-BE49-F238E27FC236}">
                <a16:creationId xmlns:a16="http://schemas.microsoft.com/office/drawing/2014/main" id="{00000000-0008-0000-0800-00000F000000}"/>
              </a:ext>
            </a:extLst>
          </xdr:cNvPr>
          <xdr:cNvSpPr txBox="1">
            <a:spLocks noChangeArrowheads="1"/>
          </xdr:cNvSpPr>
        </xdr:nvSpPr>
        <xdr:spPr bwMode="auto">
          <a:xfrm>
            <a:off x="4652" y="3534"/>
            <a:ext cx="575" cy="2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UTL1</a:t>
            </a:r>
          </a:p>
        </xdr:txBody>
      </xdr:sp>
      <xdr:sp macro="" textlink="">
        <xdr:nvSpPr>
          <xdr:cNvPr id="16" name="Text Box 9">
            <a:extLst>
              <a:ext uri="{FF2B5EF4-FFF2-40B4-BE49-F238E27FC236}">
                <a16:creationId xmlns:a16="http://schemas.microsoft.com/office/drawing/2014/main" id="{00000000-0008-0000-0800-000010000000}"/>
              </a:ext>
            </a:extLst>
          </xdr:cNvPr>
          <xdr:cNvSpPr txBox="1">
            <a:spLocks noChangeArrowheads="1"/>
          </xdr:cNvSpPr>
        </xdr:nvSpPr>
        <xdr:spPr bwMode="auto">
          <a:xfrm>
            <a:off x="4652" y="4019"/>
            <a:ext cx="575" cy="2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UTL2</a:t>
            </a:r>
          </a:p>
        </xdr:txBody>
      </xdr:sp>
      <xdr:sp macro="" textlink="">
        <xdr:nvSpPr>
          <xdr:cNvPr id="17" name="Text Box 8">
            <a:extLst>
              <a:ext uri="{FF2B5EF4-FFF2-40B4-BE49-F238E27FC236}">
                <a16:creationId xmlns:a16="http://schemas.microsoft.com/office/drawing/2014/main" id="{00000000-0008-0000-0800-000011000000}"/>
              </a:ext>
            </a:extLst>
          </xdr:cNvPr>
          <xdr:cNvSpPr txBox="1">
            <a:spLocks noChangeArrowheads="1"/>
          </xdr:cNvSpPr>
        </xdr:nvSpPr>
        <xdr:spPr bwMode="auto">
          <a:xfrm>
            <a:off x="7453" y="3634"/>
            <a:ext cx="575" cy="2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eth0</a:t>
            </a:r>
          </a:p>
        </xdr:txBody>
      </xdr:sp>
      <xdr:sp macro="" textlink="">
        <xdr:nvSpPr>
          <xdr:cNvPr id="18" name="Text Box 7">
            <a:extLst>
              <a:ext uri="{FF2B5EF4-FFF2-40B4-BE49-F238E27FC236}">
                <a16:creationId xmlns:a16="http://schemas.microsoft.com/office/drawing/2014/main" id="{00000000-0008-0000-0800-000012000000}"/>
              </a:ext>
            </a:extLst>
          </xdr:cNvPr>
          <xdr:cNvSpPr txBox="1">
            <a:spLocks noChangeArrowheads="1"/>
          </xdr:cNvSpPr>
        </xdr:nvSpPr>
        <xdr:spPr bwMode="auto">
          <a:xfrm>
            <a:off x="7453" y="4138"/>
            <a:ext cx="575" cy="2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eth1</a:t>
            </a:r>
          </a:p>
        </xdr:txBody>
      </xdr:sp>
    </xdr:grpSp>
    <xdr:clientData/>
  </xdr:twoCellAnchor>
  <xdr:twoCellAnchor>
    <xdr:from>
      <xdr:col>0</xdr:col>
      <xdr:colOff>502478</xdr:colOff>
      <xdr:row>15</xdr:row>
      <xdr:rowOff>88348</xdr:rowOff>
    </xdr:from>
    <xdr:to>
      <xdr:col>7</xdr:col>
      <xdr:colOff>665094</xdr:colOff>
      <xdr:row>24</xdr:row>
      <xdr:rowOff>177637</xdr:rowOff>
    </xdr:to>
    <xdr:grpSp>
      <xdr:nvGrpSpPr>
        <xdr:cNvPr id="19" name="Group 6">
          <a:extLst>
            <a:ext uri="{FF2B5EF4-FFF2-40B4-BE49-F238E27FC236}">
              <a16:creationId xmlns:a16="http://schemas.microsoft.com/office/drawing/2014/main" id="{00000000-0008-0000-0800-000013000000}"/>
            </a:ext>
          </a:extLst>
        </xdr:cNvPr>
        <xdr:cNvGrpSpPr>
          <a:grpSpLocks noChangeAspect="1"/>
        </xdr:cNvGrpSpPr>
      </xdr:nvGrpSpPr>
      <xdr:grpSpPr bwMode="auto">
        <a:xfrm>
          <a:off x="502478" y="4146826"/>
          <a:ext cx="6148181" cy="1878333"/>
          <a:chOff x="0" y="0"/>
          <a:chExt cx="5200" cy="1281"/>
        </a:xfrm>
      </xdr:grpSpPr>
      <xdr:sp macro="" textlink="">
        <xdr:nvSpPr>
          <xdr:cNvPr id="21" name="AutoShape 22">
            <a:extLst>
              <a:ext uri="{FF2B5EF4-FFF2-40B4-BE49-F238E27FC236}">
                <a16:creationId xmlns:a16="http://schemas.microsoft.com/office/drawing/2014/main" id="{00000000-0008-0000-0800-000015000000}"/>
              </a:ext>
            </a:extLst>
          </xdr:cNvPr>
          <xdr:cNvSpPr>
            <a:spLocks noChangeAspect="1" noChangeArrowheads="1" noTextEdit="1"/>
          </xdr:cNvSpPr>
        </xdr:nvSpPr>
        <xdr:spPr bwMode="auto">
          <a:xfrm>
            <a:off x="0" y="0"/>
            <a:ext cx="5200" cy="1281"/>
          </a:xfrm>
          <a:prstGeom prst="rect">
            <a:avLst/>
          </a:prstGeom>
          <a:noFill/>
          <a:extLst>
            <a:ext uri="{909E8E84-426E-40DD-AFC4-6F175D3DCCD1}">
              <a14:hiddenFill xmlns:a14="http://schemas.microsoft.com/office/drawing/2010/main">
                <a:solidFill>
                  <a:srgbClr val="FFFFFF"/>
                </a:solid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ltLang="zh-CN"/>
              <a:t>L Raman Blade </a:t>
            </a:r>
            <a:r>
              <a:rPr lang="en-US"/>
              <a:t>Switch flow chart</a:t>
            </a:r>
          </a:p>
        </xdr:txBody>
      </xdr:sp>
      <xdr:sp macro="" textlink="">
        <xdr:nvSpPr>
          <xdr:cNvPr id="22" name="Rectangle 21">
            <a:extLst>
              <a:ext uri="{FF2B5EF4-FFF2-40B4-BE49-F238E27FC236}">
                <a16:creationId xmlns:a16="http://schemas.microsoft.com/office/drawing/2014/main" id="{00000000-0008-0000-0800-000016000000}"/>
              </a:ext>
            </a:extLst>
          </xdr:cNvPr>
          <xdr:cNvSpPr>
            <a:spLocks noChangeArrowheads="1"/>
          </xdr:cNvSpPr>
        </xdr:nvSpPr>
        <xdr:spPr bwMode="auto">
          <a:xfrm>
            <a:off x="761" y="202"/>
            <a:ext cx="1312" cy="946"/>
          </a:xfrm>
          <a:prstGeom prst="rect">
            <a:avLst/>
          </a:prstGeom>
          <a:gradFill rotWithShape="0">
            <a:gsLst>
              <a:gs pos="0">
                <a:srgbClr val="FFFFFF"/>
              </a:gs>
              <a:gs pos="100000">
                <a:srgbClr val="C5E0B3"/>
              </a:gs>
            </a:gsLst>
            <a:lin ang="5400000" scaled="1"/>
          </a:gradFill>
          <a:ln w="12700">
            <a:solidFill>
              <a:srgbClr val="A8D08D"/>
            </a:solidFill>
            <a:miter lim="800000"/>
            <a:headEnd/>
            <a:tailEnd/>
          </a:ln>
          <a:effectLst>
            <a:outerShdw dist="28398" dir="3806097" algn="ctr" rotWithShape="0">
              <a:srgbClr val="375623">
                <a:alpha val="50000"/>
              </a:srgbClr>
            </a:outerShdw>
          </a:effectLst>
        </xdr:spPr>
        <xdr:txBody>
          <a:bodyPr wrap="square" lIns="91440" tIns="45720" rIns="91440" bIns="45720" anchor="t" upright="1"/>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l" rtl="0">
              <a:defRPr sz="1000"/>
            </a:pPr>
            <a:r>
              <a:rPr lang="en-US" sz="1200" b="0" i="0" u="none" strike="noStrike" baseline="0">
                <a:solidFill>
                  <a:srgbClr val="000000"/>
                </a:solidFill>
                <a:latin typeface="Times New Roman"/>
                <a:cs typeface="Times New Roman"/>
              </a:rPr>
              <a:t> </a:t>
            </a:r>
            <a:endParaRPr lang="en-US" sz="1200" b="0" i="0" u="none" strike="noStrike" baseline="0">
              <a:solidFill>
                <a:srgbClr val="000000"/>
              </a:solidFill>
              <a:latin typeface="Calibri"/>
              <a:cs typeface="Calibri"/>
            </a:endParaRPr>
          </a:p>
          <a:p>
            <a:pPr algn="l" rtl="0">
              <a:defRPr sz="1000"/>
            </a:pPr>
            <a:r>
              <a:rPr lang="en-US" sz="1200" b="0" i="0" u="none" strike="noStrike" baseline="0">
                <a:solidFill>
                  <a:srgbClr val="000000"/>
                </a:solidFill>
                <a:latin typeface="Times New Roman"/>
                <a:cs typeface="Times New Roman"/>
              </a:rPr>
              <a:t> </a:t>
            </a:r>
            <a:endParaRPr lang="en-US" sz="1200" b="0" i="0" u="none" strike="noStrike" baseline="0">
              <a:solidFill>
                <a:srgbClr val="000000"/>
              </a:solidFill>
              <a:latin typeface="Calibri"/>
              <a:cs typeface="Calibri"/>
            </a:endParaRPr>
          </a:p>
          <a:p>
            <a:pPr algn="l" rtl="0">
              <a:defRPr sz="1000"/>
            </a:pPr>
            <a:r>
              <a:rPr lang="en-US" sz="1200" b="0" i="0" u="none" strike="noStrike" baseline="0">
                <a:solidFill>
                  <a:srgbClr val="000000"/>
                </a:solidFill>
                <a:latin typeface="Times New Roman"/>
                <a:cs typeface="Times New Roman"/>
              </a:rPr>
              <a:t>Switch</a:t>
            </a:r>
          </a:p>
        </xdr:txBody>
      </xdr:sp>
      <xdr:sp macro="" textlink="">
        <xdr:nvSpPr>
          <xdr:cNvPr id="23" name="Rectangle 20">
            <a:extLst>
              <a:ext uri="{FF2B5EF4-FFF2-40B4-BE49-F238E27FC236}">
                <a16:creationId xmlns:a16="http://schemas.microsoft.com/office/drawing/2014/main" id="{00000000-0008-0000-0800-000017000000}"/>
              </a:ext>
            </a:extLst>
          </xdr:cNvPr>
          <xdr:cNvSpPr>
            <a:spLocks noChangeArrowheads="1"/>
          </xdr:cNvSpPr>
        </xdr:nvSpPr>
        <xdr:spPr bwMode="auto">
          <a:xfrm>
            <a:off x="3127" y="202"/>
            <a:ext cx="1314" cy="946"/>
          </a:xfrm>
          <a:prstGeom prst="rect">
            <a:avLst/>
          </a:prstGeom>
          <a:gradFill rotWithShape="0">
            <a:gsLst>
              <a:gs pos="0">
                <a:srgbClr val="FFFFFF"/>
              </a:gs>
              <a:gs pos="100000">
                <a:srgbClr val="BDD6EE"/>
              </a:gs>
            </a:gsLst>
            <a:lin ang="5400000" scaled="1"/>
          </a:gradFill>
          <a:ln w="12700">
            <a:solidFill>
              <a:srgbClr val="9CC2E5"/>
            </a:solidFill>
            <a:miter lim="800000"/>
            <a:headEnd/>
            <a:tailEnd/>
          </a:ln>
          <a:effectLst>
            <a:outerShdw dist="28398" dir="3806097" algn="ctr" rotWithShape="0">
              <a:srgbClr val="1F4D78">
                <a:alpha val="50000"/>
              </a:srgbClr>
            </a:outerShdw>
          </a:effectLst>
        </xdr:spPr>
        <xdr:txBody>
          <a:bodyPr wrap="square" lIns="91440" tIns="45720" rIns="91440" bIns="45720" anchor="t" upright="1"/>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l" rtl="0">
              <a:defRPr sz="1000"/>
            </a:pPr>
            <a:r>
              <a:rPr lang="en-US" sz="1200" b="0" i="0" u="none" strike="noStrike" baseline="0">
                <a:solidFill>
                  <a:srgbClr val="000000"/>
                </a:solidFill>
                <a:latin typeface="Times New Roman"/>
                <a:cs typeface="Times New Roman"/>
              </a:rPr>
              <a:t> </a:t>
            </a:r>
            <a:endParaRPr lang="en-US" sz="1200" b="0" i="0" u="none" strike="noStrike" baseline="0">
              <a:solidFill>
                <a:srgbClr val="000000"/>
              </a:solidFill>
              <a:latin typeface="Calibri"/>
              <a:cs typeface="Calibri"/>
            </a:endParaRPr>
          </a:p>
          <a:p>
            <a:pPr algn="l" rtl="0">
              <a:defRPr sz="1000"/>
            </a:pPr>
            <a:r>
              <a:rPr lang="en-US" sz="1200" b="0" i="0" u="none" strike="noStrike" baseline="0">
                <a:solidFill>
                  <a:srgbClr val="000000"/>
                </a:solidFill>
                <a:latin typeface="Times New Roman"/>
                <a:cs typeface="Times New Roman"/>
              </a:rPr>
              <a:t> </a:t>
            </a:r>
            <a:endParaRPr lang="en-US" sz="1200" b="0" i="0" u="none" strike="noStrike" baseline="0">
              <a:solidFill>
                <a:srgbClr val="000000"/>
              </a:solidFill>
              <a:latin typeface="Calibri"/>
              <a:cs typeface="Calibri"/>
            </a:endParaRPr>
          </a:p>
          <a:p>
            <a:pPr algn="l" rtl="0">
              <a:defRPr sz="1000"/>
            </a:pPr>
            <a:r>
              <a:rPr lang="en-US" sz="1200" b="0" i="0" u="none" strike="noStrike" baseline="0">
                <a:solidFill>
                  <a:srgbClr val="000000"/>
                </a:solidFill>
                <a:latin typeface="Times New Roman"/>
                <a:cs typeface="Times New Roman"/>
              </a:rPr>
              <a:t>CPU</a:t>
            </a:r>
          </a:p>
        </xdr:txBody>
      </xdr:sp>
      <xdr:sp macro="" textlink="">
        <xdr:nvSpPr>
          <xdr:cNvPr id="24" name="AutoShape 19">
            <a:extLst>
              <a:ext uri="{FF2B5EF4-FFF2-40B4-BE49-F238E27FC236}">
                <a16:creationId xmlns:a16="http://schemas.microsoft.com/office/drawing/2014/main" id="{00000000-0008-0000-0800-000018000000}"/>
              </a:ext>
            </a:extLst>
          </xdr:cNvPr>
          <xdr:cNvSpPr>
            <a:spLocks noChangeShapeType="1"/>
          </xdr:cNvSpPr>
        </xdr:nvSpPr>
        <xdr:spPr bwMode="auto">
          <a:xfrm>
            <a:off x="2073" y="437"/>
            <a:ext cx="1054" cy="1"/>
          </a:xfrm>
          <a:prstGeom prst="straightConnector1">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5" name="AutoShape 18">
            <a:extLst>
              <a:ext uri="{FF2B5EF4-FFF2-40B4-BE49-F238E27FC236}">
                <a16:creationId xmlns:a16="http://schemas.microsoft.com/office/drawing/2014/main" id="{00000000-0008-0000-0800-000019000000}"/>
              </a:ext>
            </a:extLst>
          </xdr:cNvPr>
          <xdr:cNvSpPr>
            <a:spLocks noChangeShapeType="1"/>
          </xdr:cNvSpPr>
        </xdr:nvSpPr>
        <xdr:spPr bwMode="auto">
          <a:xfrm flipH="1">
            <a:off x="393" y="435"/>
            <a:ext cx="368" cy="2"/>
          </a:xfrm>
          <a:prstGeom prst="straightConnector1">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6" name="AutoShape 17">
            <a:extLst>
              <a:ext uri="{FF2B5EF4-FFF2-40B4-BE49-F238E27FC236}">
                <a16:creationId xmlns:a16="http://schemas.microsoft.com/office/drawing/2014/main" id="{00000000-0008-0000-0800-00001A000000}"/>
              </a:ext>
            </a:extLst>
          </xdr:cNvPr>
          <xdr:cNvSpPr>
            <a:spLocks noChangeShapeType="1"/>
          </xdr:cNvSpPr>
        </xdr:nvSpPr>
        <xdr:spPr bwMode="auto">
          <a:xfrm flipH="1">
            <a:off x="393" y="941"/>
            <a:ext cx="368" cy="2"/>
          </a:xfrm>
          <a:prstGeom prst="straightConnector1">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7" name="AutoShape 16">
            <a:extLst>
              <a:ext uri="{FF2B5EF4-FFF2-40B4-BE49-F238E27FC236}">
                <a16:creationId xmlns:a16="http://schemas.microsoft.com/office/drawing/2014/main" id="{00000000-0008-0000-0800-00001B000000}"/>
              </a:ext>
            </a:extLst>
          </xdr:cNvPr>
          <xdr:cNvSpPr>
            <a:spLocks noChangeShapeType="1"/>
          </xdr:cNvSpPr>
        </xdr:nvSpPr>
        <xdr:spPr bwMode="auto">
          <a:xfrm>
            <a:off x="761" y="437"/>
            <a:ext cx="1312" cy="1"/>
          </a:xfrm>
          <a:prstGeom prst="straightConnector1">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8" name="AutoShape 14">
            <a:extLst>
              <a:ext uri="{FF2B5EF4-FFF2-40B4-BE49-F238E27FC236}">
                <a16:creationId xmlns:a16="http://schemas.microsoft.com/office/drawing/2014/main" id="{00000000-0008-0000-0800-00001C000000}"/>
              </a:ext>
            </a:extLst>
          </xdr:cNvPr>
          <xdr:cNvSpPr>
            <a:spLocks noChangeShapeType="1"/>
          </xdr:cNvSpPr>
        </xdr:nvSpPr>
        <xdr:spPr bwMode="auto">
          <a:xfrm>
            <a:off x="2073" y="940"/>
            <a:ext cx="1054" cy="1"/>
          </a:xfrm>
          <a:prstGeom prst="straightConnector1">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9" name="Text Box 10">
            <a:extLst>
              <a:ext uri="{FF2B5EF4-FFF2-40B4-BE49-F238E27FC236}">
                <a16:creationId xmlns:a16="http://schemas.microsoft.com/office/drawing/2014/main" id="{00000000-0008-0000-0800-00001D000000}"/>
              </a:ext>
            </a:extLst>
          </xdr:cNvPr>
          <xdr:cNvSpPr txBox="1">
            <a:spLocks noChangeArrowheads="1"/>
          </xdr:cNvSpPr>
        </xdr:nvSpPr>
        <xdr:spPr bwMode="auto">
          <a:xfrm>
            <a:off x="326" y="214"/>
            <a:ext cx="575" cy="2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91440" tIns="45720" rIns="91440" bIns="45720" anchor="t" upright="1"/>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l" rtl="0">
              <a:defRPr sz="1000"/>
            </a:pPr>
            <a:r>
              <a:rPr lang="en-US" sz="1200" b="0" i="0" u="none" strike="noStrike" baseline="0">
                <a:solidFill>
                  <a:srgbClr val="000000"/>
                </a:solidFill>
                <a:latin typeface="Times New Roman"/>
                <a:cs typeface="Times New Roman"/>
              </a:rPr>
              <a:t>UTL1</a:t>
            </a:r>
          </a:p>
        </xdr:txBody>
      </xdr:sp>
      <xdr:sp macro="" textlink="">
        <xdr:nvSpPr>
          <xdr:cNvPr id="30" name="Text Box 9">
            <a:extLst>
              <a:ext uri="{FF2B5EF4-FFF2-40B4-BE49-F238E27FC236}">
                <a16:creationId xmlns:a16="http://schemas.microsoft.com/office/drawing/2014/main" id="{00000000-0008-0000-0800-00001E000000}"/>
              </a:ext>
            </a:extLst>
          </xdr:cNvPr>
          <xdr:cNvSpPr txBox="1">
            <a:spLocks noChangeArrowheads="1"/>
          </xdr:cNvSpPr>
        </xdr:nvSpPr>
        <xdr:spPr bwMode="auto">
          <a:xfrm>
            <a:off x="326" y="699"/>
            <a:ext cx="575" cy="2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91440" tIns="45720" rIns="91440" bIns="45720" anchor="t" upright="1"/>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l" rtl="0">
              <a:defRPr sz="1000"/>
            </a:pPr>
            <a:r>
              <a:rPr lang="en-US" sz="1200" b="0" i="0" u="none" strike="noStrike" baseline="0">
                <a:solidFill>
                  <a:srgbClr val="000000"/>
                </a:solidFill>
                <a:latin typeface="Times New Roman"/>
                <a:cs typeface="Times New Roman"/>
              </a:rPr>
              <a:t>UTL2</a:t>
            </a:r>
          </a:p>
        </xdr:txBody>
      </xdr:sp>
      <xdr:sp macro="" textlink="">
        <xdr:nvSpPr>
          <xdr:cNvPr id="31" name="Text Box 8">
            <a:extLst>
              <a:ext uri="{FF2B5EF4-FFF2-40B4-BE49-F238E27FC236}">
                <a16:creationId xmlns:a16="http://schemas.microsoft.com/office/drawing/2014/main" id="{00000000-0008-0000-0800-00001F000000}"/>
              </a:ext>
            </a:extLst>
          </xdr:cNvPr>
          <xdr:cNvSpPr txBox="1">
            <a:spLocks noChangeArrowheads="1"/>
          </xdr:cNvSpPr>
        </xdr:nvSpPr>
        <xdr:spPr bwMode="auto">
          <a:xfrm>
            <a:off x="3127" y="314"/>
            <a:ext cx="575" cy="2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91440" tIns="45720" rIns="91440" bIns="45720" anchor="t" upright="1"/>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l" rtl="0">
              <a:defRPr sz="1000"/>
            </a:pPr>
            <a:r>
              <a:rPr lang="en-US" sz="1200" b="0" i="0" u="none" strike="noStrike" baseline="0">
                <a:solidFill>
                  <a:srgbClr val="000000"/>
                </a:solidFill>
                <a:latin typeface="Times New Roman"/>
                <a:cs typeface="Times New Roman"/>
              </a:rPr>
              <a:t>eth0</a:t>
            </a:r>
          </a:p>
        </xdr:txBody>
      </xdr:sp>
      <xdr:sp macro="" textlink="">
        <xdr:nvSpPr>
          <xdr:cNvPr id="32" name="Text Box 7">
            <a:extLst>
              <a:ext uri="{FF2B5EF4-FFF2-40B4-BE49-F238E27FC236}">
                <a16:creationId xmlns:a16="http://schemas.microsoft.com/office/drawing/2014/main" id="{00000000-0008-0000-0800-000020000000}"/>
              </a:ext>
            </a:extLst>
          </xdr:cNvPr>
          <xdr:cNvSpPr txBox="1">
            <a:spLocks noChangeArrowheads="1"/>
          </xdr:cNvSpPr>
        </xdr:nvSpPr>
        <xdr:spPr bwMode="auto">
          <a:xfrm>
            <a:off x="3127" y="818"/>
            <a:ext cx="575" cy="2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91440" tIns="45720" rIns="91440" bIns="45720" anchor="t" upright="1"/>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l" rtl="0">
              <a:defRPr sz="1000"/>
            </a:pPr>
            <a:r>
              <a:rPr lang="en-US" sz="1200" b="0" i="0" u="none" strike="noStrike" baseline="0">
                <a:solidFill>
                  <a:srgbClr val="000000"/>
                </a:solidFill>
                <a:latin typeface="Times New Roman"/>
                <a:cs typeface="Times New Roman"/>
              </a:rPr>
              <a:t>eth1</a:t>
            </a:r>
          </a:p>
        </xdr:txBody>
      </xdr:sp>
    </xdr:grpSp>
    <xdr:clientData/>
  </xdr:twoCellAnchor>
  <xdr:twoCellAnchor>
    <xdr:from>
      <xdr:col>1</xdr:col>
      <xdr:colOff>319980</xdr:colOff>
      <xdr:row>22</xdr:row>
      <xdr:rowOff>69966</xdr:rowOff>
    </xdr:from>
    <xdr:to>
      <xdr:col>3</xdr:col>
      <xdr:colOff>242300</xdr:colOff>
      <xdr:row>22</xdr:row>
      <xdr:rowOff>71230</xdr:rowOff>
    </xdr:to>
    <xdr:sp macro="" textlink="">
      <xdr:nvSpPr>
        <xdr:cNvPr id="20" name="AutoShape 16">
          <a:extLst>
            <a:ext uri="{FF2B5EF4-FFF2-40B4-BE49-F238E27FC236}">
              <a16:creationId xmlns:a16="http://schemas.microsoft.com/office/drawing/2014/main" id="{00000000-0008-0000-0800-000014000000}"/>
            </a:ext>
          </a:extLst>
        </xdr:cNvPr>
        <xdr:cNvSpPr>
          <a:spLocks noChangeShapeType="1"/>
        </xdr:cNvSpPr>
      </xdr:nvSpPr>
      <xdr:spPr bwMode="auto">
        <a:xfrm>
          <a:off x="1413284" y="5337705"/>
          <a:ext cx="1551233" cy="1264"/>
        </a:xfrm>
        <a:prstGeom prst="straightConnector1">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clientData/>
  </xdr:twoCellAnchor>
  <xdr:twoCellAnchor>
    <xdr:from>
      <xdr:col>7</xdr:col>
      <xdr:colOff>82827</xdr:colOff>
      <xdr:row>8</xdr:row>
      <xdr:rowOff>44174</xdr:rowOff>
    </xdr:from>
    <xdr:to>
      <xdr:col>11</xdr:col>
      <xdr:colOff>172831</xdr:colOff>
      <xdr:row>24</xdr:row>
      <xdr:rowOff>89453</xdr:rowOff>
    </xdr:to>
    <xdr:pic>
      <xdr:nvPicPr>
        <xdr:cNvPr id="33" name="Picture 2">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68392" y="2711174"/>
          <a:ext cx="3568700" cy="32258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319980</xdr:colOff>
      <xdr:row>22</xdr:row>
      <xdr:rowOff>69966</xdr:rowOff>
    </xdr:from>
    <xdr:to>
      <xdr:col>3</xdr:col>
      <xdr:colOff>242300</xdr:colOff>
      <xdr:row>22</xdr:row>
      <xdr:rowOff>71230</xdr:rowOff>
    </xdr:to>
    <xdr:sp macro="" textlink="">
      <xdr:nvSpPr>
        <xdr:cNvPr id="32" name="AutoShape 16">
          <a:extLst>
            <a:ext uri="{FF2B5EF4-FFF2-40B4-BE49-F238E27FC236}">
              <a16:creationId xmlns:a16="http://schemas.microsoft.com/office/drawing/2014/main" id="{00000000-0008-0000-0900-000020000000}"/>
            </a:ext>
          </a:extLst>
        </xdr:cNvPr>
        <xdr:cNvSpPr>
          <a:spLocks noChangeShapeType="1"/>
        </xdr:cNvSpPr>
      </xdr:nvSpPr>
      <xdr:spPr bwMode="auto">
        <a:xfrm>
          <a:off x="1412180" y="5486516"/>
          <a:ext cx="1547920" cy="1264"/>
        </a:xfrm>
        <a:prstGeom prst="straightConnector1">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319980</xdr:colOff>
      <xdr:row>22</xdr:row>
      <xdr:rowOff>69966</xdr:rowOff>
    </xdr:from>
    <xdr:to>
      <xdr:col>3</xdr:col>
      <xdr:colOff>242300</xdr:colOff>
      <xdr:row>22</xdr:row>
      <xdr:rowOff>71230</xdr:rowOff>
    </xdr:to>
    <xdr:sp macro="" textlink="">
      <xdr:nvSpPr>
        <xdr:cNvPr id="2" name="AutoShape 16">
          <a:extLst>
            <a:ext uri="{FF2B5EF4-FFF2-40B4-BE49-F238E27FC236}">
              <a16:creationId xmlns:a16="http://schemas.microsoft.com/office/drawing/2014/main" id="{00000000-0008-0000-0A00-000002000000}"/>
            </a:ext>
          </a:extLst>
        </xdr:cNvPr>
        <xdr:cNvSpPr>
          <a:spLocks noChangeShapeType="1"/>
        </xdr:cNvSpPr>
      </xdr:nvSpPr>
      <xdr:spPr bwMode="auto">
        <a:xfrm>
          <a:off x="1412180" y="5486516"/>
          <a:ext cx="1547920" cy="1264"/>
        </a:xfrm>
        <a:prstGeom prst="straightConnector1">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txBody>
        <a:bodyPr wrap="square"/>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1"/>
  <sheetViews>
    <sheetView workbookViewId="0">
      <selection activeCell="G18" sqref="G18"/>
    </sheetView>
  </sheetViews>
  <sheetFormatPr defaultRowHeight="14.5"/>
  <sheetData>
    <row r="11" spans="2:2" ht="18.5">
      <c r="B11" s="41" t="s">
        <v>22</v>
      </c>
    </row>
  </sheetData>
  <phoneticPr fontId="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O33"/>
  <sheetViews>
    <sheetView zoomScale="75" zoomScaleNormal="75" workbookViewId="0">
      <pane ySplit="5" topLeftCell="A6" activePane="bottomLeft" state="frozen"/>
      <selection activeCell="D10" sqref="D10"/>
      <selection pane="bottomLeft" activeCell="D17" sqref="D17"/>
    </sheetView>
  </sheetViews>
  <sheetFormatPr defaultRowHeight="15.5"/>
  <cols>
    <col min="1" max="1" width="4.26953125" style="3" customWidth="1"/>
    <col min="2" max="2" width="67.453125" style="26" customWidth="1"/>
    <col min="3" max="4" width="18.6328125" style="26" customWidth="1"/>
    <col min="5" max="5" width="18.6328125" style="2" customWidth="1"/>
    <col min="6" max="6" width="18.6328125" style="26" customWidth="1"/>
    <col min="7" max="7" width="18.6328125" style="2" customWidth="1"/>
    <col min="8" max="8" width="19.08984375" style="2" customWidth="1"/>
    <col min="9" max="9" width="18.6328125" style="2" customWidth="1"/>
    <col min="10" max="10" width="28.26953125" style="26" customWidth="1"/>
    <col min="11" max="15" width="8.7265625" style="26"/>
  </cols>
  <sheetData>
    <row r="1" spans="1:15" ht="28.5" customHeight="1" thickBot="1">
      <c r="A1" s="25"/>
      <c r="C1" s="28"/>
      <c r="D1" s="33" t="s">
        <v>25</v>
      </c>
      <c r="E1" s="34" t="s">
        <v>18</v>
      </c>
      <c r="F1" s="35" t="s">
        <v>19</v>
      </c>
      <c r="G1" s="36" t="s">
        <v>26</v>
      </c>
    </row>
    <row r="2" spans="1:15" ht="28.5" customHeight="1" thickBot="1">
      <c r="A2" s="25"/>
      <c r="C2" s="28"/>
      <c r="D2" s="29">
        <v>6</v>
      </c>
      <c r="E2" s="30">
        <v>2</v>
      </c>
      <c r="F2" s="32">
        <v>4</v>
      </c>
      <c r="G2" s="31">
        <v>0</v>
      </c>
    </row>
    <row r="3" spans="1:15" ht="28.5" customHeight="1" thickTop="1" thickBot="1">
      <c r="A3" s="25"/>
      <c r="C3" s="28"/>
      <c r="D3" s="37" t="s">
        <v>27</v>
      </c>
      <c r="E3" s="38" t="s">
        <v>20</v>
      </c>
      <c r="F3" s="39" t="s">
        <v>28</v>
      </c>
      <c r="G3" s="40" t="s">
        <v>29</v>
      </c>
    </row>
    <row r="4" spans="1:15" ht="28.5" customHeight="1" thickBot="1">
      <c r="A4" s="25"/>
      <c r="C4" s="28"/>
      <c r="D4" s="49">
        <v>4</v>
      </c>
      <c r="E4" s="50">
        <v>2</v>
      </c>
      <c r="F4" s="51">
        <v>0</v>
      </c>
      <c r="G4" s="52">
        <v>0</v>
      </c>
    </row>
    <row r="5" spans="1:15" ht="31.5" thickBot="1">
      <c r="A5" s="55" t="s">
        <v>0</v>
      </c>
      <c r="B5" s="56" t="s">
        <v>6</v>
      </c>
      <c r="C5" s="56" t="s">
        <v>13</v>
      </c>
      <c r="D5" s="56" t="s">
        <v>30</v>
      </c>
      <c r="E5" s="57" t="s">
        <v>31</v>
      </c>
      <c r="F5" s="58" t="s">
        <v>32</v>
      </c>
      <c r="G5" s="59" t="s">
        <v>5</v>
      </c>
      <c r="H5" s="57" t="s">
        <v>17</v>
      </c>
      <c r="I5" s="57" t="s">
        <v>33</v>
      </c>
      <c r="J5" s="60" t="s">
        <v>34</v>
      </c>
    </row>
    <row r="6" spans="1:15" s="48" customFormat="1" ht="16" thickBot="1">
      <c r="A6" s="69" t="s">
        <v>37</v>
      </c>
      <c r="B6" s="70" t="s">
        <v>77</v>
      </c>
      <c r="C6" s="70" t="s">
        <v>70</v>
      </c>
      <c r="D6" s="70" t="s">
        <v>82</v>
      </c>
      <c r="E6" s="71" t="s">
        <v>71</v>
      </c>
      <c r="F6" s="70" t="s">
        <v>83</v>
      </c>
      <c r="G6" s="71">
        <v>43763</v>
      </c>
      <c r="H6" s="71">
        <v>43784</v>
      </c>
      <c r="I6" s="71"/>
      <c r="J6" s="70"/>
      <c r="K6" s="45"/>
      <c r="L6" s="45"/>
      <c r="M6" s="45"/>
      <c r="N6" s="45"/>
      <c r="O6" s="45"/>
    </row>
    <row r="7" spans="1:15" s="48" customFormat="1" ht="16" thickBot="1">
      <c r="A7" s="69" t="s">
        <v>44</v>
      </c>
      <c r="B7" s="70" t="s">
        <v>84</v>
      </c>
      <c r="C7" s="70" t="s">
        <v>78</v>
      </c>
      <c r="D7" s="70" t="s">
        <v>71</v>
      </c>
      <c r="E7" s="71" t="s">
        <v>85</v>
      </c>
      <c r="F7" s="70" t="s">
        <v>86</v>
      </c>
      <c r="G7" s="71">
        <v>43763</v>
      </c>
      <c r="H7" s="71">
        <v>43784</v>
      </c>
      <c r="I7" s="71"/>
      <c r="J7" s="70"/>
      <c r="K7" s="45"/>
      <c r="L7" s="45"/>
      <c r="M7" s="45"/>
      <c r="N7" s="45"/>
      <c r="O7" s="45"/>
    </row>
    <row r="8" spans="1:15" s="48" customFormat="1" ht="16" thickBot="1">
      <c r="A8" s="69" t="s">
        <v>49</v>
      </c>
      <c r="B8" s="70" t="s">
        <v>80</v>
      </c>
      <c r="C8" s="70" t="s">
        <v>87</v>
      </c>
      <c r="D8" s="70" t="s">
        <v>88</v>
      </c>
      <c r="E8" s="71" t="s">
        <v>1</v>
      </c>
      <c r="F8" s="70" t="s">
        <v>72</v>
      </c>
      <c r="G8" s="71">
        <v>43767</v>
      </c>
      <c r="H8" s="71">
        <v>43784</v>
      </c>
      <c r="I8" s="71">
        <v>43784</v>
      </c>
      <c r="J8" s="70"/>
      <c r="K8" s="45"/>
      <c r="L8" s="45"/>
      <c r="M8" s="45"/>
      <c r="N8" s="45"/>
      <c r="O8" s="45"/>
    </row>
    <row r="9" spans="1:15" s="48" customFormat="1" ht="16" thickBot="1">
      <c r="A9" s="69" t="s">
        <v>55</v>
      </c>
      <c r="B9" s="70" t="s">
        <v>89</v>
      </c>
      <c r="C9" s="70" t="s">
        <v>70</v>
      </c>
      <c r="D9" s="70" t="s">
        <v>90</v>
      </c>
      <c r="E9" s="71" t="s">
        <v>88</v>
      </c>
      <c r="F9" s="70" t="s">
        <v>86</v>
      </c>
      <c r="G9" s="71">
        <v>43774</v>
      </c>
      <c r="H9" s="71">
        <v>43784</v>
      </c>
      <c r="I9" s="71"/>
      <c r="J9" s="70"/>
      <c r="K9" s="45"/>
      <c r="L9" s="45"/>
      <c r="M9" s="45"/>
      <c r="N9" s="45"/>
      <c r="O9" s="45"/>
    </row>
    <row r="10" spans="1:15" s="48" customFormat="1" ht="16" thickBot="1">
      <c r="A10" s="69" t="s">
        <v>58</v>
      </c>
      <c r="B10" s="70" t="s">
        <v>91</v>
      </c>
      <c r="C10" s="70" t="s">
        <v>70</v>
      </c>
      <c r="D10" s="70" t="s">
        <v>90</v>
      </c>
      <c r="E10" s="71" t="s">
        <v>82</v>
      </c>
      <c r="F10" s="70" t="s">
        <v>79</v>
      </c>
      <c r="G10" s="71">
        <v>43777</v>
      </c>
      <c r="H10" s="71">
        <v>43784</v>
      </c>
      <c r="I10" s="71"/>
      <c r="J10" s="70"/>
      <c r="K10" s="45"/>
      <c r="L10" s="45"/>
      <c r="M10" s="45"/>
      <c r="N10" s="45"/>
      <c r="O10" s="45"/>
    </row>
    <row r="11" spans="1:15" s="48" customFormat="1" ht="16" thickBot="1">
      <c r="A11" s="61" t="s">
        <v>73</v>
      </c>
      <c r="B11" s="62" t="s">
        <v>92</v>
      </c>
      <c r="C11" s="62" t="s">
        <v>70</v>
      </c>
      <c r="D11" s="62" t="s">
        <v>1</v>
      </c>
      <c r="E11" s="63" t="s">
        <v>82</v>
      </c>
      <c r="F11" s="62" t="s">
        <v>93</v>
      </c>
      <c r="G11" s="63">
        <v>43782</v>
      </c>
      <c r="H11" s="63">
        <v>43784</v>
      </c>
      <c r="I11" s="63"/>
      <c r="J11" s="62"/>
      <c r="K11" s="45"/>
      <c r="L11" s="45"/>
      <c r="M11" s="45"/>
      <c r="N11" s="45"/>
      <c r="O11" s="45"/>
    </row>
    <row r="12" spans="1:15" s="48" customFormat="1" ht="16" thickBot="1">
      <c r="A12" s="61" t="s">
        <v>99</v>
      </c>
      <c r="B12" s="62" t="s">
        <v>98</v>
      </c>
      <c r="C12" s="62" t="s">
        <v>95</v>
      </c>
      <c r="D12" s="70" t="s">
        <v>36</v>
      </c>
      <c r="E12" s="63" t="s">
        <v>36</v>
      </c>
      <c r="F12" s="62" t="s">
        <v>79</v>
      </c>
      <c r="G12" s="63">
        <v>43782</v>
      </c>
      <c r="H12" s="63">
        <v>43784</v>
      </c>
      <c r="I12" s="63"/>
      <c r="J12" s="62"/>
      <c r="K12" s="45"/>
      <c r="L12" s="45"/>
      <c r="M12" s="45"/>
      <c r="N12" s="45"/>
      <c r="O12" s="45"/>
    </row>
    <row r="13" spans="1:15" s="48" customFormat="1" ht="16" thickBot="1">
      <c r="A13" s="61" t="s">
        <v>101</v>
      </c>
      <c r="B13" s="62" t="s">
        <v>100</v>
      </c>
      <c r="C13" s="62" t="s">
        <v>70</v>
      </c>
      <c r="D13" s="62" t="s">
        <v>36</v>
      </c>
      <c r="E13" s="63" t="s">
        <v>36</v>
      </c>
      <c r="F13" s="62" t="s">
        <v>79</v>
      </c>
      <c r="G13" s="63">
        <v>43782</v>
      </c>
      <c r="H13" s="63">
        <v>43784</v>
      </c>
      <c r="I13" s="63"/>
      <c r="J13" s="62"/>
      <c r="K13" s="45"/>
      <c r="L13" s="45"/>
      <c r="M13" s="45"/>
      <c r="N13" s="45"/>
      <c r="O13" s="45"/>
    </row>
    <row r="14" spans="1:15" s="48" customFormat="1" ht="16" thickBot="1">
      <c r="A14" s="61" t="s">
        <v>104</v>
      </c>
      <c r="B14" s="62" t="s">
        <v>103</v>
      </c>
      <c r="C14" s="78" t="s">
        <v>95</v>
      </c>
      <c r="D14" s="78" t="s">
        <v>36</v>
      </c>
      <c r="E14" s="63" t="s">
        <v>36</v>
      </c>
      <c r="F14" s="62" t="s">
        <v>79</v>
      </c>
      <c r="G14" s="63">
        <v>43782</v>
      </c>
      <c r="H14" s="63">
        <v>43784</v>
      </c>
      <c r="I14" s="63"/>
      <c r="J14" s="62"/>
      <c r="K14" s="45"/>
      <c r="L14" s="45"/>
      <c r="M14" s="45"/>
      <c r="N14" s="45"/>
      <c r="O14" s="45"/>
    </row>
    <row r="15" spans="1:15" s="48" customFormat="1">
      <c r="A15" s="44"/>
      <c r="B15" s="45"/>
      <c r="C15" s="45"/>
      <c r="D15" s="45"/>
      <c r="E15" s="46"/>
      <c r="F15" s="45"/>
      <c r="G15" s="46"/>
      <c r="H15" s="46"/>
      <c r="I15" s="46"/>
      <c r="J15" s="45"/>
      <c r="K15" s="45"/>
      <c r="L15" s="45"/>
      <c r="M15" s="45"/>
      <c r="N15" s="45"/>
      <c r="O15" s="45"/>
    </row>
    <row r="16" spans="1:15" s="4" customFormat="1">
      <c r="A16" s="42"/>
      <c r="E16" s="43"/>
      <c r="G16" s="43"/>
      <c r="H16" s="43"/>
      <c r="I16" s="43"/>
    </row>
    <row r="17" spans="1:15" s="4" customFormat="1">
      <c r="A17" s="44"/>
      <c r="B17" s="45"/>
      <c r="C17" s="45"/>
      <c r="D17" s="45"/>
      <c r="E17" s="46"/>
      <c r="F17" s="45"/>
      <c r="G17" s="46"/>
      <c r="H17" s="46"/>
      <c r="I17" s="46"/>
      <c r="J17" s="45"/>
    </row>
    <row r="18" spans="1:15" s="4" customFormat="1">
      <c r="A18" s="42"/>
      <c r="E18" s="43"/>
      <c r="G18" s="43"/>
      <c r="H18" s="43"/>
      <c r="I18" s="43"/>
    </row>
    <row r="19" spans="1:15" s="4" customFormat="1">
      <c r="A19" s="42"/>
      <c r="E19" s="43"/>
      <c r="G19" s="43"/>
      <c r="H19" s="43"/>
      <c r="I19" s="43"/>
    </row>
    <row r="20" spans="1:15" s="4" customFormat="1" ht="16" thickBot="1">
      <c r="A20" s="42"/>
      <c r="D20" s="77"/>
      <c r="E20" s="43"/>
      <c r="G20" s="43"/>
      <c r="H20" s="43"/>
      <c r="I20" s="43"/>
    </row>
    <row r="21" spans="1:15" s="4" customFormat="1">
      <c r="A21" s="42"/>
      <c r="E21" s="43"/>
      <c r="G21" s="43"/>
      <c r="H21" s="43"/>
      <c r="I21" s="43"/>
    </row>
    <row r="22" spans="1:15" s="4" customFormat="1">
      <c r="A22" s="44"/>
      <c r="B22" s="45"/>
      <c r="C22" s="45"/>
      <c r="D22" s="45"/>
      <c r="E22" s="46"/>
      <c r="F22" s="45"/>
      <c r="G22" s="46"/>
      <c r="H22" s="46"/>
      <c r="I22" s="46"/>
      <c r="J22" s="45"/>
    </row>
    <row r="23" spans="1:15" s="4" customFormat="1">
      <c r="A23" s="42"/>
      <c r="E23" s="43"/>
      <c r="G23" s="43"/>
      <c r="H23" s="43"/>
      <c r="I23" s="43"/>
    </row>
    <row r="24" spans="1:15" s="4" customFormat="1">
      <c r="A24" s="42"/>
      <c r="E24" s="43"/>
      <c r="G24" s="43"/>
      <c r="H24" s="43"/>
      <c r="I24" s="43"/>
    </row>
    <row r="25" spans="1:15" s="4" customFormat="1">
      <c r="A25" s="42"/>
      <c r="E25" s="43"/>
      <c r="G25" s="43"/>
      <c r="H25" s="43"/>
      <c r="I25" s="43"/>
    </row>
    <row r="26" spans="1:15" s="4" customFormat="1">
      <c r="A26" s="42"/>
      <c r="E26" s="43"/>
      <c r="G26" s="43"/>
      <c r="H26" s="43"/>
      <c r="I26" s="43"/>
    </row>
    <row r="27" spans="1:15" s="4" customFormat="1">
      <c r="A27" s="42"/>
      <c r="E27" s="43"/>
      <c r="G27" s="43"/>
      <c r="H27" s="43"/>
      <c r="I27" s="43"/>
    </row>
    <row r="28" spans="1:15" s="4" customFormat="1">
      <c r="A28" s="42"/>
      <c r="E28" s="43"/>
      <c r="G28" s="43"/>
      <c r="H28" s="43"/>
      <c r="I28" s="43"/>
    </row>
    <row r="29" spans="1:15" s="4" customFormat="1">
      <c r="A29" s="44"/>
      <c r="B29" s="45"/>
      <c r="C29" s="45"/>
      <c r="D29" s="45"/>
      <c r="E29" s="46"/>
      <c r="F29" s="45"/>
      <c r="G29" s="46"/>
      <c r="H29" s="46"/>
      <c r="I29" s="46"/>
      <c r="J29" s="45"/>
    </row>
    <row r="30" spans="1:15" s="4" customFormat="1">
      <c r="A30" s="42"/>
      <c r="E30" s="43"/>
      <c r="G30" s="43"/>
      <c r="H30" s="43"/>
      <c r="I30" s="43"/>
    </row>
    <row r="31" spans="1:15" s="4" customFormat="1">
      <c r="A31" s="42"/>
      <c r="E31" s="43"/>
      <c r="G31" s="43"/>
      <c r="H31" s="43"/>
      <c r="I31" s="43"/>
    </row>
    <row r="32" spans="1:15" s="47" customFormat="1">
      <c r="A32" s="42"/>
      <c r="B32" s="4"/>
      <c r="C32" s="4"/>
      <c r="D32" s="4"/>
      <c r="E32" s="43"/>
      <c r="F32" s="4"/>
      <c r="G32" s="43"/>
      <c r="H32" s="43"/>
      <c r="I32" s="43"/>
      <c r="J32" s="4"/>
      <c r="K32" s="4"/>
      <c r="L32" s="4"/>
      <c r="M32" s="4"/>
      <c r="N32" s="4"/>
      <c r="O32" s="4"/>
    </row>
    <row r="33" spans="1:15" s="47" customFormat="1">
      <c r="A33" s="42"/>
      <c r="B33" s="4"/>
      <c r="C33" s="4"/>
      <c r="D33" s="4"/>
      <c r="E33" s="43"/>
      <c r="F33" s="4"/>
      <c r="G33" s="43"/>
      <c r="H33" s="43"/>
      <c r="I33" s="43"/>
      <c r="J33" s="4"/>
      <c r="K33" s="4"/>
      <c r="L33" s="4"/>
      <c r="M33" s="4"/>
      <c r="N33" s="4"/>
      <c r="O33" s="4"/>
    </row>
  </sheetData>
  <phoneticPr fontId="1"/>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5122" r:id="rId4" name="CommandButton2">
          <controlPr defaultSize="0" autoLine="0" r:id="rId5">
            <anchor moveWithCells="1">
              <from>
                <xdr:col>1</xdr:col>
                <xdr:colOff>1162050</xdr:colOff>
                <xdr:row>0</xdr:row>
                <xdr:rowOff>69850</xdr:rowOff>
              </from>
              <to>
                <xdr:col>1</xdr:col>
                <xdr:colOff>1746250</xdr:colOff>
                <xdr:row>0</xdr:row>
                <xdr:rowOff>298450</xdr:rowOff>
              </to>
            </anchor>
          </controlPr>
        </control>
      </mc:Choice>
      <mc:Fallback>
        <control shapeId="5122" r:id="rId4" name="CommandButton2"/>
      </mc:Fallback>
    </mc:AlternateContent>
    <mc:AlternateContent xmlns:mc="http://schemas.openxmlformats.org/markup-compatibility/2006">
      <mc:Choice Requires="x14">
        <control shapeId="5121" r:id="rId6" name="CommandButton1">
          <controlPr defaultSize="0" autoLine="0" r:id="rId7">
            <anchor moveWithCells="1">
              <from>
                <xdr:col>1</xdr:col>
                <xdr:colOff>203200</xdr:colOff>
                <xdr:row>0</xdr:row>
                <xdr:rowOff>69850</xdr:rowOff>
              </from>
              <to>
                <xdr:col>1</xdr:col>
                <xdr:colOff>793750</xdr:colOff>
                <xdr:row>0</xdr:row>
                <xdr:rowOff>298450</xdr:rowOff>
              </to>
            </anchor>
          </controlPr>
        </control>
      </mc:Choice>
      <mc:Fallback>
        <control shapeId="5121" r:id="rId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Q17"/>
  <sheetViews>
    <sheetView zoomScale="115" zoomScaleNormal="115" workbookViewId="0">
      <pane ySplit="5" topLeftCell="A6" activePane="bottomLeft" state="frozen"/>
      <selection pane="bottomLeft" activeCell="C9" sqref="C9:L9"/>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8.7265625" style="26"/>
  </cols>
  <sheetData>
    <row r="1" spans="1:14" ht="31.5" thickBot="1">
      <c r="A1" s="8" t="s">
        <v>24</v>
      </c>
      <c r="B1" s="10">
        <v>1</v>
      </c>
      <c r="C1" s="16" t="s">
        <v>2</v>
      </c>
      <c r="D1" s="13" t="s">
        <v>35</v>
      </c>
      <c r="E1" s="19" t="s">
        <v>5</v>
      </c>
      <c r="F1" s="20">
        <v>43763</v>
      </c>
      <c r="G1" s="17" t="s">
        <v>11</v>
      </c>
      <c r="H1" s="18">
        <v>43784</v>
      </c>
      <c r="I1" s="17" t="s">
        <v>12</v>
      </c>
      <c r="J1" s="18"/>
      <c r="K1" s="16" t="s">
        <v>10</v>
      </c>
      <c r="L1" s="13" t="s">
        <v>38</v>
      </c>
      <c r="M1" s="5" t="s">
        <v>14</v>
      </c>
    </row>
    <row r="2" spans="1:14" ht="28.5" customHeight="1" thickBot="1">
      <c r="A2" s="9" t="s">
        <v>9</v>
      </c>
      <c r="B2" s="13" t="s">
        <v>43</v>
      </c>
      <c r="C2" s="21" t="s">
        <v>23</v>
      </c>
      <c r="D2" s="10" t="s">
        <v>35</v>
      </c>
      <c r="E2" s="17" t="s">
        <v>15</v>
      </c>
      <c r="F2" s="82"/>
      <c r="G2" s="83"/>
      <c r="H2" s="83"/>
      <c r="I2" s="83"/>
      <c r="J2" s="83"/>
      <c r="K2" s="83"/>
      <c r="L2" s="84"/>
    </row>
    <row r="3" spans="1:14" ht="15.65" customHeight="1" thickBot="1">
      <c r="A3" s="9" t="s">
        <v>6</v>
      </c>
      <c r="B3" s="85" t="s">
        <v>39</v>
      </c>
      <c r="C3" s="86"/>
      <c r="D3" s="86"/>
      <c r="E3" s="86"/>
      <c r="F3" s="86"/>
      <c r="G3" s="86"/>
      <c r="H3" s="86"/>
      <c r="I3" s="86"/>
      <c r="J3" s="86"/>
      <c r="K3" s="86"/>
      <c r="L3" s="87"/>
      <c r="M3" s="14" t="s">
        <v>16</v>
      </c>
    </row>
    <row r="4" spans="1:14" ht="57.65" customHeight="1">
      <c r="A4" s="22" t="s">
        <v>7</v>
      </c>
      <c r="B4" s="88" t="s">
        <v>39</v>
      </c>
      <c r="C4" s="89"/>
      <c r="D4" s="89"/>
      <c r="E4" s="89"/>
      <c r="F4" s="89"/>
      <c r="G4" s="89"/>
      <c r="H4" s="89"/>
      <c r="I4" s="89"/>
      <c r="J4" s="89"/>
      <c r="K4" s="89"/>
      <c r="L4" s="90"/>
      <c r="M4" s="65" t="s">
        <v>21</v>
      </c>
      <c r="N4" s="4"/>
    </row>
    <row r="5" spans="1:14">
      <c r="A5" s="66" t="s">
        <v>3</v>
      </c>
      <c r="B5" s="27" t="s">
        <v>4</v>
      </c>
      <c r="C5" s="91" t="s">
        <v>8</v>
      </c>
      <c r="D5" s="92"/>
      <c r="E5" s="92"/>
      <c r="F5" s="92"/>
      <c r="G5" s="92"/>
      <c r="H5" s="92"/>
      <c r="I5" s="92"/>
      <c r="J5" s="92"/>
      <c r="K5" s="92"/>
      <c r="L5" s="93"/>
      <c r="M5" s="67"/>
      <c r="N5" s="4"/>
    </row>
    <row r="6" spans="1:14" ht="15.5" customHeight="1">
      <c r="A6" s="64">
        <v>43763</v>
      </c>
      <c r="B6" s="27" t="s">
        <v>35</v>
      </c>
      <c r="C6" s="79" t="s">
        <v>40</v>
      </c>
      <c r="D6" s="80"/>
      <c r="E6" s="80"/>
      <c r="F6" s="80"/>
      <c r="G6" s="80"/>
      <c r="H6" s="80"/>
      <c r="I6" s="80"/>
      <c r="J6" s="80"/>
      <c r="K6" s="80"/>
      <c r="L6" s="81"/>
      <c r="M6" s="27"/>
    </row>
    <row r="7" spans="1:14" ht="32.5" customHeight="1">
      <c r="A7" s="64">
        <v>43766</v>
      </c>
      <c r="B7" s="27" t="s">
        <v>35</v>
      </c>
      <c r="C7" s="79" t="s">
        <v>60</v>
      </c>
      <c r="D7" s="80"/>
      <c r="E7" s="80"/>
      <c r="F7" s="80"/>
      <c r="G7" s="80"/>
      <c r="H7" s="80"/>
      <c r="I7" s="80"/>
      <c r="J7" s="80"/>
      <c r="K7" s="80"/>
      <c r="L7" s="81"/>
      <c r="M7" s="27"/>
    </row>
    <row r="8" spans="1:14" ht="15.5" customHeight="1">
      <c r="A8" s="64">
        <v>43766</v>
      </c>
      <c r="B8" s="27" t="s">
        <v>42</v>
      </c>
      <c r="C8" s="79" t="s">
        <v>41</v>
      </c>
      <c r="D8" s="80"/>
      <c r="E8" s="80"/>
      <c r="F8" s="80"/>
      <c r="G8" s="80"/>
      <c r="H8" s="80"/>
      <c r="I8" s="80"/>
      <c r="J8" s="80"/>
      <c r="K8" s="80"/>
      <c r="L8" s="81"/>
      <c r="M8" s="27"/>
    </row>
    <row r="9" spans="1:14" ht="32.15" customHeight="1">
      <c r="A9" s="64">
        <v>43770</v>
      </c>
      <c r="B9" s="27" t="s">
        <v>42</v>
      </c>
      <c r="C9" s="79" t="s">
        <v>54</v>
      </c>
      <c r="D9" s="80"/>
      <c r="E9" s="80"/>
      <c r="F9" s="80"/>
      <c r="G9" s="80"/>
      <c r="H9" s="80"/>
      <c r="I9" s="80"/>
      <c r="J9" s="80"/>
      <c r="K9" s="80"/>
      <c r="L9" s="81"/>
      <c r="M9" s="27"/>
    </row>
    <row r="10" spans="1:14" ht="63" customHeight="1">
      <c r="A10" s="64">
        <v>43782</v>
      </c>
      <c r="B10" s="27" t="s">
        <v>42</v>
      </c>
      <c r="C10" s="79" t="s">
        <v>61</v>
      </c>
      <c r="D10" s="80"/>
      <c r="E10" s="80"/>
      <c r="F10" s="80"/>
      <c r="G10" s="80"/>
      <c r="H10" s="80"/>
      <c r="I10" s="80"/>
      <c r="J10" s="80"/>
      <c r="K10" s="80"/>
      <c r="L10" s="81"/>
      <c r="M10" s="27"/>
    </row>
    <row r="11" spans="1:14">
      <c r="C11" s="95"/>
      <c r="D11" s="95"/>
      <c r="E11" s="95"/>
      <c r="F11" s="95"/>
      <c r="G11" s="95"/>
      <c r="H11" s="95"/>
      <c r="I11" s="95"/>
      <c r="J11" s="95"/>
      <c r="K11" s="95"/>
      <c r="L11" s="95"/>
    </row>
    <row r="12" spans="1:14">
      <c r="C12" s="94"/>
      <c r="D12" s="94"/>
      <c r="E12" s="94"/>
      <c r="F12" s="94"/>
      <c r="G12" s="94"/>
      <c r="H12" s="94"/>
      <c r="I12" s="94"/>
      <c r="J12" s="94"/>
      <c r="K12" s="94"/>
      <c r="L12" s="94"/>
    </row>
    <row r="13" spans="1:14">
      <c r="C13" s="94"/>
      <c r="D13" s="94"/>
      <c r="E13" s="94"/>
      <c r="F13" s="94"/>
      <c r="G13" s="94"/>
      <c r="H13" s="94"/>
      <c r="I13" s="94"/>
      <c r="J13" s="94"/>
      <c r="K13" s="94"/>
      <c r="L13" s="94"/>
    </row>
    <row r="14" spans="1:14">
      <c r="C14" s="94"/>
      <c r="D14" s="94"/>
      <c r="E14" s="94"/>
      <c r="F14" s="94"/>
      <c r="G14" s="94"/>
      <c r="H14" s="94"/>
      <c r="I14" s="94"/>
      <c r="J14" s="94"/>
      <c r="K14" s="94"/>
      <c r="L14" s="94"/>
    </row>
    <row r="15" spans="1:14">
      <c r="C15" s="94"/>
      <c r="D15" s="94"/>
      <c r="E15" s="94"/>
      <c r="F15" s="94"/>
      <c r="G15" s="94"/>
      <c r="H15" s="94"/>
      <c r="I15" s="94"/>
      <c r="J15" s="94"/>
      <c r="K15" s="94"/>
      <c r="L15" s="94"/>
    </row>
    <row r="16" spans="1:14">
      <c r="C16" s="94"/>
      <c r="D16" s="94"/>
      <c r="E16" s="94"/>
      <c r="F16" s="94"/>
      <c r="G16" s="94"/>
      <c r="H16" s="94"/>
      <c r="I16" s="94"/>
      <c r="J16" s="94"/>
      <c r="K16" s="94"/>
      <c r="L16" s="94"/>
    </row>
    <row r="17" spans="3:12">
      <c r="C17" s="73"/>
      <c r="D17" s="73"/>
      <c r="E17" s="73"/>
      <c r="F17" s="73"/>
      <c r="G17" s="73"/>
      <c r="H17" s="73"/>
      <c r="I17" s="73"/>
      <c r="J17" s="73"/>
      <c r="K17" s="73"/>
      <c r="L17" s="73"/>
    </row>
  </sheetData>
  <mergeCells count="15">
    <mergeCell ref="C14:L14"/>
    <mergeCell ref="C15:L15"/>
    <mergeCell ref="C16:L16"/>
    <mergeCell ref="C8:L8"/>
    <mergeCell ref="C9:L9"/>
    <mergeCell ref="C10:L10"/>
    <mergeCell ref="C11:L11"/>
    <mergeCell ref="C12:L12"/>
    <mergeCell ref="C13:L13"/>
    <mergeCell ref="C7:L7"/>
    <mergeCell ref="F2:L2"/>
    <mergeCell ref="B3:L3"/>
    <mergeCell ref="B4:L4"/>
    <mergeCell ref="C5:L5"/>
    <mergeCell ref="C6:L6"/>
  </mergeCells>
  <phoneticPr fontId="1"/>
  <dataValidations count="2">
    <dataValidation type="list" allowBlank="1" showInputMessage="1" showErrorMessage="1" sqref="B2" xr:uid="{F97E9D02-47B1-489F-8BB7-D869AFAAFBAC}">
      <formula1>"Addressed,Open,Closed"</formula1>
    </dataValidation>
    <dataValidation type="list" allowBlank="1" showInputMessage="1" showErrorMessage="1" sqref="L1" xr:uid="{63996ED7-D25C-4B7E-B9CD-10908F643E4C}">
      <formula1>"CR,MJ,MN,REF"</formula1>
    </dataValidation>
  </dataValidations>
  <hyperlinks>
    <hyperlink ref="M1" location="DashBoard!A1" display="To DashBoard" xr:uid="{00000000-0004-0000-0200-000000000000}"/>
  </hyperlink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8C27092-3EFC-4D35-B0AD-D2BED77687C3}">
          <x14:formula1>
            <xm:f>db!$A$1:$B$1</xm:f>
          </x14:formula1>
          <xm:sqref>D1:D2 B6:B1048576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Q17"/>
  <sheetViews>
    <sheetView zoomScale="130" zoomScaleNormal="130" workbookViewId="0">
      <pane ySplit="5" topLeftCell="A6" activePane="bottomLeft" state="frozen"/>
      <selection pane="bottomLeft" activeCell="H1" sqref="H1"/>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8.7265625" style="26"/>
  </cols>
  <sheetData>
    <row r="1" spans="1:14" ht="31.5" thickBot="1">
      <c r="A1" s="8" t="s">
        <v>24</v>
      </c>
      <c r="B1" s="10">
        <v>2</v>
      </c>
      <c r="C1" s="16" t="s">
        <v>2</v>
      </c>
      <c r="D1" s="13" t="s">
        <v>35</v>
      </c>
      <c r="E1" s="19" t="s">
        <v>5</v>
      </c>
      <c r="F1" s="20">
        <v>43763</v>
      </c>
      <c r="G1" s="17" t="s">
        <v>11</v>
      </c>
      <c r="H1" s="63">
        <v>43784</v>
      </c>
      <c r="I1" s="17" t="s">
        <v>12</v>
      </c>
      <c r="J1" s="18"/>
      <c r="K1" s="16" t="s">
        <v>10</v>
      </c>
      <c r="L1" s="13" t="s">
        <v>45</v>
      </c>
      <c r="M1" s="5" t="s">
        <v>14</v>
      </c>
    </row>
    <row r="2" spans="1:14" ht="28.5" customHeight="1" thickBot="1">
      <c r="A2" s="9" t="s">
        <v>9</v>
      </c>
      <c r="B2" s="13" t="s">
        <v>43</v>
      </c>
      <c r="C2" s="21" t="s">
        <v>23</v>
      </c>
      <c r="D2" s="10" t="s">
        <v>35</v>
      </c>
      <c r="E2" s="17" t="s">
        <v>15</v>
      </c>
      <c r="F2" s="97"/>
      <c r="G2" s="98"/>
      <c r="H2" s="98"/>
      <c r="I2" s="98"/>
      <c r="J2" s="98"/>
      <c r="K2" s="98"/>
      <c r="L2" s="99"/>
    </row>
    <row r="3" spans="1:14" ht="15.65" customHeight="1" thickBot="1">
      <c r="A3" s="9" t="s">
        <v>6</v>
      </c>
      <c r="B3" s="100" t="s">
        <v>46</v>
      </c>
      <c r="C3" s="101"/>
      <c r="D3" s="101"/>
      <c r="E3" s="101"/>
      <c r="F3" s="101"/>
      <c r="G3" s="101"/>
      <c r="H3" s="101"/>
      <c r="I3" s="101"/>
      <c r="J3" s="101"/>
      <c r="K3" s="101"/>
      <c r="L3" s="102"/>
      <c r="M3" s="14" t="s">
        <v>16</v>
      </c>
    </row>
    <row r="4" spans="1:14" ht="57.65" customHeight="1">
      <c r="A4" s="22" t="s">
        <v>7</v>
      </c>
      <c r="B4" s="103" t="s">
        <v>47</v>
      </c>
      <c r="C4" s="94"/>
      <c r="D4" s="94"/>
      <c r="E4" s="94"/>
      <c r="F4" s="94"/>
      <c r="G4" s="94"/>
      <c r="H4" s="94"/>
      <c r="I4" s="94"/>
      <c r="J4" s="94"/>
      <c r="K4" s="94"/>
      <c r="L4" s="94"/>
      <c r="M4" s="65" t="s">
        <v>21</v>
      </c>
      <c r="N4" s="4"/>
    </row>
    <row r="5" spans="1:14">
      <c r="A5" s="66" t="s">
        <v>3</v>
      </c>
      <c r="B5" s="27" t="s">
        <v>4</v>
      </c>
      <c r="C5" s="104" t="s">
        <v>8</v>
      </c>
      <c r="D5" s="104"/>
      <c r="E5" s="104"/>
      <c r="F5" s="104"/>
      <c r="G5" s="104"/>
      <c r="H5" s="104"/>
      <c r="I5" s="104"/>
      <c r="J5" s="104"/>
      <c r="K5" s="104"/>
      <c r="L5" s="104"/>
      <c r="M5" s="67"/>
      <c r="N5" s="4"/>
    </row>
    <row r="6" spans="1:14" ht="33" customHeight="1">
      <c r="A6" s="64">
        <v>43767</v>
      </c>
      <c r="B6" s="27" t="s">
        <v>42</v>
      </c>
      <c r="C6" s="96" t="s">
        <v>48</v>
      </c>
      <c r="D6" s="96"/>
      <c r="E6" s="96"/>
      <c r="F6" s="96"/>
      <c r="G6" s="96"/>
      <c r="H6" s="96"/>
      <c r="I6" s="96"/>
      <c r="J6" s="96"/>
      <c r="K6" s="96"/>
      <c r="L6" s="96"/>
      <c r="M6" s="27"/>
    </row>
    <row r="7" spans="1:14">
      <c r="A7" s="64">
        <v>43770</v>
      </c>
      <c r="B7" s="27" t="s">
        <v>42</v>
      </c>
      <c r="C7" s="96" t="s">
        <v>53</v>
      </c>
      <c r="D7" s="96"/>
      <c r="E7" s="96"/>
      <c r="F7" s="96"/>
      <c r="G7" s="96"/>
      <c r="H7" s="96"/>
      <c r="I7" s="96"/>
      <c r="J7" s="96"/>
      <c r="K7" s="96"/>
      <c r="L7" s="96"/>
      <c r="M7" s="27"/>
    </row>
    <row r="8" spans="1:14" ht="63" customHeight="1">
      <c r="A8" s="64">
        <v>43782</v>
      </c>
      <c r="B8" s="27" t="s">
        <v>42</v>
      </c>
      <c r="C8" s="96" t="s">
        <v>62</v>
      </c>
      <c r="D8" s="96"/>
      <c r="E8" s="96"/>
      <c r="F8" s="96"/>
      <c r="G8" s="96"/>
      <c r="H8" s="96"/>
      <c r="I8" s="96"/>
      <c r="J8" s="96"/>
      <c r="K8" s="96"/>
      <c r="L8" s="96"/>
      <c r="M8" s="27"/>
    </row>
    <row r="9" spans="1:14">
      <c r="C9" s="94"/>
      <c r="D9" s="94"/>
      <c r="E9" s="94"/>
      <c r="F9" s="94"/>
      <c r="G9" s="94"/>
      <c r="H9" s="94"/>
      <c r="I9" s="94"/>
      <c r="J9" s="94"/>
      <c r="K9" s="94"/>
      <c r="L9" s="94"/>
    </row>
    <row r="10" spans="1:14">
      <c r="C10" s="105"/>
      <c r="D10" s="94"/>
      <c r="E10" s="94"/>
      <c r="F10" s="94"/>
      <c r="G10" s="94"/>
      <c r="H10" s="94"/>
      <c r="I10" s="94"/>
      <c r="J10" s="94"/>
      <c r="K10" s="94"/>
      <c r="L10" s="94"/>
    </row>
    <row r="11" spans="1:14">
      <c r="C11" s="94"/>
      <c r="D11" s="94"/>
      <c r="E11" s="94"/>
      <c r="F11" s="94"/>
      <c r="G11" s="94"/>
      <c r="H11" s="94"/>
      <c r="I11" s="94"/>
      <c r="J11" s="94"/>
      <c r="K11" s="94"/>
      <c r="L11" s="94"/>
    </row>
    <row r="12" spans="1:14">
      <c r="C12" s="94"/>
      <c r="D12" s="94"/>
      <c r="E12" s="94"/>
      <c r="F12" s="94"/>
      <c r="G12" s="94"/>
      <c r="H12" s="94"/>
      <c r="I12" s="94"/>
      <c r="J12" s="94"/>
      <c r="K12" s="94"/>
      <c r="L12" s="94"/>
    </row>
    <row r="13" spans="1:14">
      <c r="C13" s="94"/>
      <c r="D13" s="94"/>
      <c r="E13" s="94"/>
      <c r="F13" s="94"/>
      <c r="G13" s="94"/>
      <c r="H13" s="94"/>
      <c r="I13" s="94"/>
      <c r="J13" s="94"/>
      <c r="K13" s="94"/>
      <c r="L13" s="94"/>
    </row>
    <row r="14" spans="1:14">
      <c r="C14" s="94"/>
      <c r="D14" s="94"/>
      <c r="E14" s="94"/>
      <c r="F14" s="94"/>
      <c r="G14" s="94"/>
      <c r="H14" s="94"/>
      <c r="I14" s="94"/>
      <c r="J14" s="94"/>
      <c r="K14" s="94"/>
      <c r="L14" s="94"/>
    </row>
    <row r="15" spans="1:14">
      <c r="C15" s="94"/>
      <c r="D15" s="94"/>
      <c r="E15" s="94"/>
      <c r="F15" s="94"/>
      <c r="G15" s="94"/>
      <c r="H15" s="94"/>
      <c r="I15" s="94"/>
      <c r="J15" s="94"/>
      <c r="K15" s="94"/>
      <c r="L15" s="94"/>
    </row>
    <row r="16" spans="1:14">
      <c r="C16" s="94"/>
      <c r="D16" s="94"/>
      <c r="E16" s="94"/>
      <c r="F16" s="94"/>
      <c r="G16" s="94"/>
      <c r="H16" s="94"/>
      <c r="I16" s="94"/>
      <c r="J16" s="94"/>
      <c r="K16" s="94"/>
      <c r="L16" s="94"/>
    </row>
    <row r="17" spans="3:12">
      <c r="C17" s="53"/>
      <c r="D17" s="53"/>
      <c r="E17" s="53"/>
      <c r="F17" s="53"/>
      <c r="G17" s="53"/>
      <c r="H17" s="53"/>
      <c r="I17" s="53"/>
      <c r="J17" s="53"/>
      <c r="K17" s="53"/>
      <c r="L17" s="53"/>
    </row>
  </sheetData>
  <mergeCells count="15">
    <mergeCell ref="C14:L14"/>
    <mergeCell ref="C15:L15"/>
    <mergeCell ref="C16:L16"/>
    <mergeCell ref="C8:L8"/>
    <mergeCell ref="C9:L9"/>
    <mergeCell ref="C10:L10"/>
    <mergeCell ref="C11:L11"/>
    <mergeCell ref="C12:L12"/>
    <mergeCell ref="C13:L13"/>
    <mergeCell ref="C7:L7"/>
    <mergeCell ref="F2:L2"/>
    <mergeCell ref="B3:L3"/>
    <mergeCell ref="B4:L4"/>
    <mergeCell ref="C5:L5"/>
    <mergeCell ref="C6:L6"/>
  </mergeCells>
  <phoneticPr fontId="1"/>
  <dataValidations count="2">
    <dataValidation type="list" allowBlank="1" showInputMessage="1" showErrorMessage="1" sqref="B2" xr:uid="{00000000-0002-0000-0300-000000000000}">
      <formula1>"Addressed,Open,Closed"</formula1>
    </dataValidation>
    <dataValidation type="list" allowBlank="1" showInputMessage="1" showErrorMessage="1" sqref="L1" xr:uid="{00000000-0002-0000-0300-000001000000}">
      <formula1>"CR,MJ,MN,REF"</formula1>
    </dataValidation>
  </dataValidations>
  <hyperlinks>
    <hyperlink ref="M1" location="DashBoard!A1" display="To DashBoard" xr:uid="{00000000-0004-0000-0300-000000000000}"/>
  </hyperlinks>
  <pageMargins left="0.7" right="0.7" top="0.75" bottom="0.75" header="0.3" footer="0.3"/>
  <pageSetup paperSize="9" orientation="portrait"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db!$A$1:$B$1</xm:f>
          </x14:formula1>
          <xm:sqref>D1:D2 B6:B1048576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Q17"/>
  <sheetViews>
    <sheetView zoomScale="175" zoomScaleNormal="175" workbookViewId="0">
      <pane ySplit="5" topLeftCell="A6" activePane="bottomLeft" state="frozen"/>
      <selection pane="bottomLeft" activeCell="H1" sqref="H1"/>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8.7265625" style="26"/>
  </cols>
  <sheetData>
    <row r="1" spans="1:14" ht="31.5" thickBot="1">
      <c r="A1" s="8" t="s">
        <v>24</v>
      </c>
      <c r="B1" s="10">
        <v>3</v>
      </c>
      <c r="C1" s="16" t="s">
        <v>2</v>
      </c>
      <c r="D1" s="13" t="s">
        <v>35</v>
      </c>
      <c r="E1" s="19" t="s">
        <v>5</v>
      </c>
      <c r="F1" s="20">
        <v>43767</v>
      </c>
      <c r="G1" s="17" t="s">
        <v>11</v>
      </c>
      <c r="H1" s="63">
        <v>43784</v>
      </c>
      <c r="I1" s="17" t="s">
        <v>12</v>
      </c>
      <c r="J1" s="18">
        <v>43784</v>
      </c>
      <c r="K1" s="16" t="s">
        <v>10</v>
      </c>
      <c r="L1" s="13" t="s">
        <v>45</v>
      </c>
      <c r="M1" s="5" t="s">
        <v>14</v>
      </c>
    </row>
    <row r="2" spans="1:14" ht="28.5" customHeight="1" thickBot="1">
      <c r="A2" s="9" t="s">
        <v>9</v>
      </c>
      <c r="B2" s="13" t="s">
        <v>43</v>
      </c>
      <c r="C2" s="21" t="s">
        <v>23</v>
      </c>
      <c r="D2" s="10" t="s">
        <v>42</v>
      </c>
      <c r="E2" s="17" t="s">
        <v>15</v>
      </c>
      <c r="F2" s="97"/>
      <c r="G2" s="98"/>
      <c r="H2" s="98"/>
      <c r="I2" s="98"/>
      <c r="J2" s="98"/>
      <c r="K2" s="98"/>
      <c r="L2" s="99"/>
    </row>
    <row r="3" spans="1:14" ht="15.65" customHeight="1" thickBot="1">
      <c r="A3" s="9" t="s">
        <v>6</v>
      </c>
      <c r="B3" s="100" t="s">
        <v>50</v>
      </c>
      <c r="C3" s="101"/>
      <c r="D3" s="101"/>
      <c r="E3" s="101"/>
      <c r="F3" s="101"/>
      <c r="G3" s="101"/>
      <c r="H3" s="101"/>
      <c r="I3" s="101"/>
      <c r="J3" s="101"/>
      <c r="K3" s="101"/>
      <c r="L3" s="102"/>
      <c r="M3" s="14" t="s">
        <v>16</v>
      </c>
    </row>
    <row r="4" spans="1:14" ht="57.65" customHeight="1">
      <c r="A4" s="22" t="s">
        <v>7</v>
      </c>
      <c r="B4" s="103" t="s">
        <v>51</v>
      </c>
      <c r="C4" s="94"/>
      <c r="D4" s="94"/>
      <c r="E4" s="94"/>
      <c r="F4" s="94"/>
      <c r="G4" s="94"/>
      <c r="H4" s="94"/>
      <c r="I4" s="94"/>
      <c r="J4" s="94"/>
      <c r="K4" s="94"/>
      <c r="L4" s="94"/>
      <c r="M4" s="65" t="s">
        <v>21</v>
      </c>
      <c r="N4" s="4"/>
    </row>
    <row r="5" spans="1:14">
      <c r="A5" s="66" t="s">
        <v>3</v>
      </c>
      <c r="B5" s="27" t="s">
        <v>4</v>
      </c>
      <c r="C5" s="104" t="s">
        <v>8</v>
      </c>
      <c r="D5" s="104"/>
      <c r="E5" s="104"/>
      <c r="F5" s="104"/>
      <c r="G5" s="104"/>
      <c r="H5" s="104"/>
      <c r="I5" s="104"/>
      <c r="J5" s="104"/>
      <c r="K5" s="104"/>
      <c r="L5" s="104"/>
      <c r="M5" s="67"/>
      <c r="N5" s="4"/>
    </row>
    <row r="6" spans="1:14">
      <c r="A6" s="64">
        <v>43767</v>
      </c>
      <c r="B6" s="27" t="s">
        <v>42</v>
      </c>
      <c r="C6" s="96" t="s">
        <v>52</v>
      </c>
      <c r="D6" s="96"/>
      <c r="E6" s="96"/>
      <c r="F6" s="96"/>
      <c r="G6" s="96"/>
      <c r="H6" s="96"/>
      <c r="I6" s="96"/>
      <c r="J6" s="96"/>
      <c r="K6" s="96"/>
      <c r="L6" s="96"/>
      <c r="M6" s="27"/>
    </row>
    <row r="7" spans="1:14">
      <c r="C7" s="94"/>
      <c r="D7" s="94"/>
      <c r="E7" s="94"/>
      <c r="F7" s="94"/>
      <c r="G7" s="94"/>
      <c r="H7" s="94"/>
      <c r="I7" s="94"/>
      <c r="J7" s="94"/>
      <c r="K7" s="94"/>
      <c r="L7" s="94"/>
    </row>
    <row r="8" spans="1:14">
      <c r="C8" s="94"/>
      <c r="D8" s="94"/>
      <c r="E8" s="94"/>
      <c r="F8" s="94"/>
      <c r="G8" s="94"/>
      <c r="H8" s="94"/>
      <c r="I8" s="94"/>
      <c r="J8" s="94"/>
      <c r="K8" s="94"/>
      <c r="L8" s="94"/>
    </row>
    <row r="9" spans="1:14">
      <c r="C9" s="94"/>
      <c r="D9" s="94"/>
      <c r="E9" s="94"/>
      <c r="F9" s="94"/>
      <c r="G9" s="94"/>
      <c r="H9" s="94"/>
      <c r="I9" s="94"/>
      <c r="J9" s="94"/>
      <c r="K9" s="94"/>
      <c r="L9" s="94"/>
    </row>
    <row r="10" spans="1:14">
      <c r="C10" s="105"/>
      <c r="D10" s="94"/>
      <c r="E10" s="94"/>
      <c r="F10" s="94"/>
      <c r="G10" s="94"/>
      <c r="H10" s="94"/>
      <c r="I10" s="94"/>
      <c r="J10" s="94"/>
      <c r="K10" s="94"/>
      <c r="L10" s="94"/>
    </row>
    <row r="11" spans="1:14">
      <c r="C11" s="94"/>
      <c r="D11" s="94"/>
      <c r="E11" s="94"/>
      <c r="F11" s="94"/>
      <c r="G11" s="94"/>
      <c r="H11" s="94"/>
      <c r="I11" s="94"/>
      <c r="J11" s="94"/>
      <c r="K11" s="94"/>
      <c r="L11" s="94"/>
    </row>
    <row r="12" spans="1:14">
      <c r="C12" s="94"/>
      <c r="D12" s="94"/>
      <c r="E12" s="94"/>
      <c r="F12" s="94"/>
      <c r="G12" s="94"/>
      <c r="H12" s="94"/>
      <c r="I12" s="94"/>
      <c r="J12" s="94"/>
      <c r="K12" s="94"/>
      <c r="L12" s="94"/>
    </row>
    <row r="13" spans="1:14">
      <c r="C13" s="94"/>
      <c r="D13" s="94"/>
      <c r="E13" s="94"/>
      <c r="F13" s="94"/>
      <c r="G13" s="94"/>
      <c r="H13" s="94"/>
      <c r="I13" s="94"/>
      <c r="J13" s="94"/>
      <c r="K13" s="94"/>
      <c r="L13" s="94"/>
    </row>
    <row r="14" spans="1:14">
      <c r="C14" s="94"/>
      <c r="D14" s="94"/>
      <c r="E14" s="94"/>
      <c r="F14" s="94"/>
      <c r="G14" s="94"/>
      <c r="H14" s="94"/>
      <c r="I14" s="94"/>
      <c r="J14" s="94"/>
      <c r="K14" s="94"/>
      <c r="L14" s="94"/>
    </row>
    <row r="15" spans="1:14">
      <c r="C15" s="94"/>
      <c r="D15" s="94"/>
      <c r="E15" s="94"/>
      <c r="F15" s="94"/>
      <c r="G15" s="94"/>
      <c r="H15" s="94"/>
      <c r="I15" s="94"/>
      <c r="J15" s="94"/>
      <c r="K15" s="94"/>
      <c r="L15" s="94"/>
    </row>
    <row r="16" spans="1:14">
      <c r="C16" s="94"/>
      <c r="D16" s="94"/>
      <c r="E16" s="94"/>
      <c r="F16" s="94"/>
      <c r="G16" s="94"/>
      <c r="H16" s="94"/>
      <c r="I16" s="94"/>
      <c r="J16" s="94"/>
      <c r="K16" s="94"/>
      <c r="L16" s="94"/>
    </row>
    <row r="17" spans="3:12">
      <c r="C17" s="53"/>
      <c r="D17" s="53"/>
      <c r="E17" s="53"/>
      <c r="F17" s="53"/>
      <c r="G17" s="53"/>
      <c r="H17" s="53"/>
      <c r="I17" s="53"/>
      <c r="J17" s="53"/>
      <c r="K17" s="53"/>
      <c r="L17" s="53"/>
    </row>
  </sheetData>
  <mergeCells count="15">
    <mergeCell ref="C14:L14"/>
    <mergeCell ref="C15:L15"/>
    <mergeCell ref="C16:L16"/>
    <mergeCell ref="C8:L8"/>
    <mergeCell ref="C9:L9"/>
    <mergeCell ref="C10:L10"/>
    <mergeCell ref="C11:L11"/>
    <mergeCell ref="C12:L12"/>
    <mergeCell ref="C13:L13"/>
    <mergeCell ref="C7:L7"/>
    <mergeCell ref="F2:L2"/>
    <mergeCell ref="B3:L3"/>
    <mergeCell ref="B4:L4"/>
    <mergeCell ref="C5:L5"/>
    <mergeCell ref="C6:L6"/>
  </mergeCells>
  <phoneticPr fontId="1"/>
  <dataValidations count="2">
    <dataValidation type="list" allowBlank="1" showInputMessage="1" showErrorMessage="1" sqref="B2" xr:uid="{00000000-0002-0000-0400-000000000000}">
      <formula1>"Addressed,Open,Closed"</formula1>
    </dataValidation>
    <dataValidation type="list" allowBlank="1" showInputMessage="1" showErrorMessage="1" sqref="L1" xr:uid="{00000000-0002-0000-0400-000001000000}">
      <formula1>"CR,MJ,MN,REF"</formula1>
    </dataValidation>
  </dataValidations>
  <hyperlinks>
    <hyperlink ref="M1" location="DashBoard!A1" display="To DashBoard" xr:uid="{00000000-0004-0000-0400-000000000000}"/>
  </hyperlink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db!$A$1:$B$1</xm:f>
          </x14:formula1>
          <xm:sqref>B6:B1048576 D1:D2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Q17"/>
  <sheetViews>
    <sheetView zoomScale="115" zoomScaleNormal="115" workbookViewId="0">
      <pane ySplit="5" topLeftCell="A6" activePane="bottomLeft" state="frozen"/>
      <selection pane="bottomLeft" activeCell="C19" sqref="C19"/>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9" style="26"/>
  </cols>
  <sheetData>
    <row r="1" spans="1:14" ht="31.5" thickBot="1">
      <c r="A1" s="8" t="s">
        <v>24</v>
      </c>
      <c r="B1" s="10">
        <v>4</v>
      </c>
      <c r="C1" s="16" t="s">
        <v>2</v>
      </c>
      <c r="D1" s="13" t="s">
        <v>42</v>
      </c>
      <c r="E1" s="19" t="s">
        <v>81</v>
      </c>
      <c r="F1" s="20">
        <v>43774</v>
      </c>
      <c r="G1" s="17" t="s">
        <v>11</v>
      </c>
      <c r="H1" s="63">
        <v>43784</v>
      </c>
      <c r="I1" s="17" t="s">
        <v>12</v>
      </c>
      <c r="J1" s="18"/>
      <c r="K1" s="16" t="s">
        <v>10</v>
      </c>
      <c r="L1" s="13" t="s">
        <v>38</v>
      </c>
      <c r="M1" s="5" t="s">
        <v>14</v>
      </c>
    </row>
    <row r="2" spans="1:14" ht="28.5" customHeight="1" thickBot="1">
      <c r="A2" s="9" t="s">
        <v>9</v>
      </c>
      <c r="B2" s="13" t="s">
        <v>43</v>
      </c>
      <c r="C2" s="21" t="s">
        <v>23</v>
      </c>
      <c r="D2" s="10" t="s">
        <v>35</v>
      </c>
      <c r="E2" s="17" t="s">
        <v>15</v>
      </c>
      <c r="F2" s="97"/>
      <c r="G2" s="98"/>
      <c r="H2" s="98"/>
      <c r="I2" s="98"/>
      <c r="J2" s="98"/>
      <c r="K2" s="98"/>
      <c r="L2" s="99"/>
    </row>
    <row r="3" spans="1:14" ht="15.65" customHeight="1" thickBot="1">
      <c r="A3" s="9" t="s">
        <v>6</v>
      </c>
      <c r="B3" s="100" t="s">
        <v>57</v>
      </c>
      <c r="C3" s="101"/>
      <c r="D3" s="101"/>
      <c r="E3" s="101"/>
      <c r="F3" s="101"/>
      <c r="G3" s="101"/>
      <c r="H3" s="101"/>
      <c r="I3" s="101"/>
      <c r="J3" s="101"/>
      <c r="K3" s="101"/>
      <c r="L3" s="102"/>
      <c r="M3" s="14" t="s">
        <v>16</v>
      </c>
    </row>
    <row r="4" spans="1:14" ht="108.75" customHeight="1" thickBot="1">
      <c r="A4" s="22" t="s">
        <v>7</v>
      </c>
      <c r="B4" s="103" t="s">
        <v>63</v>
      </c>
      <c r="C4" s="94"/>
      <c r="D4" s="94"/>
      <c r="E4" s="94"/>
      <c r="F4" s="94"/>
      <c r="G4" s="94"/>
      <c r="H4" s="94"/>
      <c r="I4" s="94"/>
      <c r="J4" s="94"/>
      <c r="K4" s="94"/>
      <c r="L4" s="94"/>
      <c r="M4" s="15" t="s">
        <v>21</v>
      </c>
      <c r="N4" s="4"/>
    </row>
    <row r="5" spans="1:14" ht="16" thickBot="1">
      <c r="A5" s="12" t="s">
        <v>3</v>
      </c>
      <c r="B5" s="11" t="s">
        <v>4</v>
      </c>
      <c r="C5" s="106" t="s">
        <v>8</v>
      </c>
      <c r="D5" s="107"/>
      <c r="E5" s="107"/>
      <c r="F5" s="107"/>
      <c r="G5" s="107"/>
      <c r="H5" s="107"/>
      <c r="I5" s="107"/>
      <c r="J5" s="107"/>
      <c r="K5" s="107"/>
      <c r="L5" s="108"/>
      <c r="M5" s="23"/>
      <c r="N5" s="6"/>
    </row>
    <row r="6" spans="1:14" ht="16" thickTop="1">
      <c r="A6" s="64">
        <v>43775</v>
      </c>
      <c r="B6" s="27" t="s">
        <v>42</v>
      </c>
      <c r="C6" s="96" t="s">
        <v>64</v>
      </c>
      <c r="D6" s="96"/>
      <c r="E6" s="96"/>
      <c r="F6" s="96"/>
      <c r="G6" s="96"/>
      <c r="H6" s="96"/>
      <c r="I6" s="96"/>
      <c r="J6" s="96"/>
      <c r="K6" s="96"/>
      <c r="L6" s="96"/>
      <c r="M6" s="27"/>
    </row>
    <row r="7" spans="1:14" ht="33" customHeight="1">
      <c r="A7" s="64">
        <v>43781</v>
      </c>
      <c r="B7" s="27" t="s">
        <v>42</v>
      </c>
      <c r="C7" s="96" t="s">
        <v>66</v>
      </c>
      <c r="D7" s="96"/>
      <c r="E7" s="96"/>
      <c r="F7" s="96"/>
      <c r="G7" s="96"/>
      <c r="H7" s="96"/>
      <c r="I7" s="96"/>
      <c r="J7" s="96"/>
      <c r="K7" s="96"/>
      <c r="L7" s="96"/>
      <c r="M7" s="27" t="s">
        <v>67</v>
      </c>
    </row>
    <row r="8" spans="1:14" ht="33" customHeight="1">
      <c r="A8" s="64">
        <v>43781</v>
      </c>
      <c r="B8" s="27" t="s">
        <v>42</v>
      </c>
      <c r="C8" s="96" t="s">
        <v>65</v>
      </c>
      <c r="D8" s="96"/>
      <c r="E8" s="96"/>
      <c r="F8" s="96"/>
      <c r="G8" s="96"/>
      <c r="H8" s="96"/>
      <c r="I8" s="96"/>
      <c r="J8" s="96"/>
      <c r="K8" s="96"/>
      <c r="L8" s="96"/>
      <c r="M8" s="27" t="s">
        <v>68</v>
      </c>
    </row>
    <row r="9" spans="1:14">
      <c r="C9" s="94"/>
      <c r="D9" s="94"/>
      <c r="E9" s="94"/>
      <c r="F9" s="94"/>
      <c r="G9" s="94"/>
      <c r="H9" s="94"/>
      <c r="I9" s="94"/>
      <c r="J9" s="94"/>
      <c r="K9" s="94"/>
      <c r="L9" s="94"/>
    </row>
    <row r="10" spans="1:14">
      <c r="C10" s="105"/>
      <c r="D10" s="94"/>
      <c r="E10" s="94"/>
      <c r="F10" s="94"/>
      <c r="G10" s="94"/>
      <c r="H10" s="94"/>
      <c r="I10" s="94"/>
      <c r="J10" s="94"/>
      <c r="K10" s="94"/>
      <c r="L10" s="94"/>
    </row>
    <row r="11" spans="1:14">
      <c r="C11" s="94"/>
      <c r="D11" s="94"/>
      <c r="E11" s="94"/>
      <c r="F11" s="94"/>
      <c r="G11" s="94"/>
      <c r="H11" s="94"/>
      <c r="I11" s="94"/>
      <c r="J11" s="94"/>
      <c r="K11" s="94"/>
      <c r="L11" s="94"/>
    </row>
    <row r="12" spans="1:14">
      <c r="C12" s="94"/>
      <c r="D12" s="94"/>
      <c r="E12" s="94"/>
      <c r="F12" s="94"/>
      <c r="G12" s="94"/>
      <c r="H12" s="94"/>
      <c r="I12" s="94"/>
      <c r="J12" s="94"/>
      <c r="K12" s="94"/>
      <c r="L12" s="94"/>
    </row>
    <row r="13" spans="1:14">
      <c r="C13" s="94"/>
      <c r="D13" s="94"/>
      <c r="E13" s="94"/>
      <c r="F13" s="94"/>
      <c r="G13" s="94"/>
      <c r="H13" s="94"/>
      <c r="I13" s="94"/>
      <c r="J13" s="94"/>
      <c r="K13" s="94"/>
      <c r="L13" s="94"/>
    </row>
    <row r="14" spans="1:14">
      <c r="C14" s="94"/>
      <c r="D14" s="94"/>
      <c r="E14" s="94"/>
      <c r="F14" s="94"/>
      <c r="G14" s="94"/>
      <c r="H14" s="94"/>
      <c r="I14" s="94"/>
      <c r="J14" s="94"/>
      <c r="K14" s="94"/>
      <c r="L14" s="94"/>
    </row>
    <row r="15" spans="1:14">
      <c r="C15" s="94"/>
      <c r="D15" s="94"/>
      <c r="E15" s="94"/>
      <c r="F15" s="94"/>
      <c r="G15" s="94"/>
      <c r="H15" s="94"/>
      <c r="I15" s="94"/>
      <c r="J15" s="94"/>
      <c r="K15" s="94"/>
      <c r="L15" s="94"/>
    </row>
    <row r="16" spans="1:14">
      <c r="C16" s="94"/>
      <c r="D16" s="94"/>
      <c r="E16" s="94"/>
      <c r="F16" s="94"/>
      <c r="G16" s="94"/>
      <c r="H16" s="94"/>
      <c r="I16" s="94"/>
      <c r="J16" s="94"/>
      <c r="K16" s="94"/>
      <c r="L16" s="94"/>
    </row>
    <row r="17" spans="3:12">
      <c r="C17" s="54"/>
      <c r="D17" s="54"/>
      <c r="E17" s="54"/>
      <c r="F17" s="54"/>
      <c r="G17" s="54"/>
      <c r="H17" s="54"/>
      <c r="I17" s="54"/>
      <c r="J17" s="54"/>
      <c r="K17" s="54"/>
      <c r="L17" s="54"/>
    </row>
  </sheetData>
  <mergeCells count="15">
    <mergeCell ref="C7:L7"/>
    <mergeCell ref="F2:L2"/>
    <mergeCell ref="B3:L3"/>
    <mergeCell ref="B4:L4"/>
    <mergeCell ref="C5:L5"/>
    <mergeCell ref="C6:L6"/>
    <mergeCell ref="C14:L14"/>
    <mergeCell ref="C15:L15"/>
    <mergeCell ref="C16:L16"/>
    <mergeCell ref="C8:L8"/>
    <mergeCell ref="C9:L9"/>
    <mergeCell ref="C10:L10"/>
    <mergeCell ref="C11:L11"/>
    <mergeCell ref="C12:L12"/>
    <mergeCell ref="C13:L13"/>
  </mergeCells>
  <phoneticPr fontId="1"/>
  <dataValidations count="2">
    <dataValidation type="list" allowBlank="1" showInputMessage="1" showErrorMessage="1" sqref="B2" xr:uid="{00000000-0002-0000-0500-000000000000}">
      <formula1>"Addressed,Open,Closed"</formula1>
    </dataValidation>
    <dataValidation type="list" allowBlank="1" showInputMessage="1" showErrorMessage="1" sqref="L1" xr:uid="{00000000-0002-0000-0500-000001000000}">
      <formula1>"CR,MJ,MN,REF"</formula1>
    </dataValidation>
  </dataValidations>
  <hyperlinks>
    <hyperlink ref="M1" location="DashBoard!A1" display="To DashBoard" xr:uid="{00000000-0004-0000-0500-000000000000}"/>
  </hyperlink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db!$A$1:$B$1</xm:f>
          </x14:formula1>
          <xm:sqref>D1:D2 B6:B1048576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Q17"/>
  <sheetViews>
    <sheetView topLeftCell="B1" zoomScale="130" zoomScaleNormal="130" workbookViewId="0">
      <pane ySplit="5" topLeftCell="A6" activePane="bottomLeft" state="frozen"/>
      <selection pane="bottomLeft" activeCell="H1" sqref="H1"/>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9" style="26"/>
  </cols>
  <sheetData>
    <row r="1" spans="1:14" ht="31.5" thickBot="1">
      <c r="A1" s="8" t="s">
        <v>24</v>
      </c>
      <c r="B1" s="10">
        <v>5</v>
      </c>
      <c r="C1" s="16" t="s">
        <v>2</v>
      </c>
      <c r="D1" s="13" t="s">
        <v>42</v>
      </c>
      <c r="E1" s="19" t="s">
        <v>5</v>
      </c>
      <c r="F1" s="20">
        <v>43777</v>
      </c>
      <c r="G1" s="17" t="s">
        <v>11</v>
      </c>
      <c r="H1" s="63">
        <v>43784</v>
      </c>
      <c r="I1" s="17" t="s">
        <v>12</v>
      </c>
      <c r="J1" s="18"/>
      <c r="K1" s="16" t="s">
        <v>10</v>
      </c>
      <c r="L1" s="13" t="s">
        <v>38</v>
      </c>
      <c r="M1" s="5" t="s">
        <v>14</v>
      </c>
    </row>
    <row r="2" spans="1:14" ht="28.5" customHeight="1" thickBot="1">
      <c r="A2" s="9" t="s">
        <v>9</v>
      </c>
      <c r="B2" s="13" t="s">
        <v>56</v>
      </c>
      <c r="C2" s="21" t="s">
        <v>23</v>
      </c>
      <c r="D2" s="10" t="s">
        <v>35</v>
      </c>
      <c r="E2" s="17" t="s">
        <v>15</v>
      </c>
      <c r="F2" s="97"/>
      <c r="G2" s="98"/>
      <c r="H2" s="98"/>
      <c r="I2" s="98"/>
      <c r="J2" s="98"/>
      <c r="K2" s="98"/>
      <c r="L2" s="99"/>
    </row>
    <row r="3" spans="1:14" ht="15.65" customHeight="1" thickBot="1">
      <c r="A3" s="9" t="s">
        <v>6</v>
      </c>
      <c r="B3" s="100" t="s">
        <v>59</v>
      </c>
      <c r="C3" s="101"/>
      <c r="D3" s="101"/>
      <c r="E3" s="101"/>
      <c r="F3" s="101"/>
      <c r="G3" s="101"/>
      <c r="H3" s="101"/>
      <c r="I3" s="101"/>
      <c r="J3" s="101"/>
      <c r="K3" s="101"/>
      <c r="L3" s="102"/>
      <c r="M3" s="14" t="s">
        <v>16</v>
      </c>
    </row>
    <row r="4" spans="1:14" ht="76.5" customHeight="1" thickBot="1">
      <c r="A4" s="22" t="s">
        <v>7</v>
      </c>
      <c r="B4" s="103" t="s">
        <v>74</v>
      </c>
      <c r="C4" s="94"/>
      <c r="D4" s="94"/>
      <c r="E4" s="94"/>
      <c r="F4" s="94"/>
      <c r="G4" s="94"/>
      <c r="H4" s="94"/>
      <c r="I4" s="94"/>
      <c r="J4" s="94"/>
      <c r="K4" s="94"/>
      <c r="L4" s="94"/>
      <c r="M4" s="15" t="s">
        <v>21</v>
      </c>
      <c r="N4" s="4"/>
    </row>
    <row r="5" spans="1:14" ht="16" thickBot="1">
      <c r="A5" s="12" t="s">
        <v>3</v>
      </c>
      <c r="B5" s="11" t="s">
        <v>4</v>
      </c>
      <c r="C5" s="106" t="s">
        <v>8</v>
      </c>
      <c r="D5" s="107"/>
      <c r="E5" s="107"/>
      <c r="F5" s="107"/>
      <c r="G5" s="107"/>
      <c r="H5" s="107"/>
      <c r="I5" s="107"/>
      <c r="J5" s="107"/>
      <c r="K5" s="107"/>
      <c r="L5" s="108"/>
      <c r="M5" s="23"/>
      <c r="N5" s="6"/>
    </row>
    <row r="6" spans="1:14" ht="15" customHeight="1" thickTop="1">
      <c r="A6" s="2">
        <v>43777</v>
      </c>
      <c r="B6" s="7" t="s">
        <v>42</v>
      </c>
      <c r="C6" s="109" t="s">
        <v>69</v>
      </c>
      <c r="D6" s="109"/>
      <c r="E6" s="109"/>
      <c r="F6" s="109"/>
      <c r="G6" s="109"/>
      <c r="H6" s="109"/>
      <c r="I6" s="109"/>
      <c r="J6" s="109"/>
      <c r="K6" s="109"/>
      <c r="L6" s="109"/>
    </row>
    <row r="7" spans="1:14">
      <c r="C7" s="94"/>
      <c r="D7" s="94"/>
      <c r="E7" s="94"/>
      <c r="F7" s="94"/>
      <c r="G7" s="94"/>
      <c r="H7" s="94"/>
      <c r="I7" s="94"/>
      <c r="J7" s="94"/>
      <c r="K7" s="94"/>
      <c r="L7" s="94"/>
    </row>
    <row r="8" spans="1:14">
      <c r="C8" s="94"/>
      <c r="D8" s="94"/>
      <c r="E8" s="94"/>
      <c r="F8" s="94"/>
      <c r="G8" s="94"/>
      <c r="H8" s="94"/>
      <c r="I8" s="94"/>
      <c r="J8" s="94"/>
      <c r="K8" s="94"/>
      <c r="L8" s="94"/>
    </row>
    <row r="9" spans="1:14">
      <c r="C9" s="94"/>
      <c r="D9" s="94"/>
      <c r="E9" s="94"/>
      <c r="F9" s="94"/>
      <c r="G9" s="94"/>
      <c r="H9" s="94"/>
      <c r="I9" s="94"/>
      <c r="J9" s="94"/>
      <c r="K9" s="94"/>
      <c r="L9" s="94"/>
    </row>
    <row r="10" spans="1:14">
      <c r="C10" s="105"/>
      <c r="D10" s="94"/>
      <c r="E10" s="94"/>
      <c r="F10" s="94"/>
      <c r="G10" s="94"/>
      <c r="H10" s="94"/>
      <c r="I10" s="94"/>
      <c r="J10" s="94"/>
      <c r="K10" s="94"/>
      <c r="L10" s="94"/>
    </row>
    <row r="11" spans="1:14">
      <c r="C11" s="94"/>
      <c r="D11" s="94"/>
      <c r="E11" s="94"/>
      <c r="F11" s="94"/>
      <c r="G11" s="94"/>
      <c r="H11" s="94"/>
      <c r="I11" s="94"/>
      <c r="J11" s="94"/>
      <c r="K11" s="94"/>
      <c r="L11" s="94"/>
    </row>
    <row r="12" spans="1:14">
      <c r="C12" s="94"/>
      <c r="D12" s="94"/>
      <c r="E12" s="94"/>
      <c r="F12" s="94"/>
      <c r="G12" s="94"/>
      <c r="H12" s="94"/>
      <c r="I12" s="94"/>
      <c r="J12" s="94"/>
      <c r="K12" s="94"/>
      <c r="L12" s="94"/>
    </row>
    <row r="13" spans="1:14">
      <c r="C13" s="94"/>
      <c r="D13" s="94"/>
      <c r="E13" s="94"/>
      <c r="F13" s="94"/>
      <c r="G13" s="94"/>
      <c r="H13" s="94"/>
      <c r="I13" s="94"/>
      <c r="J13" s="94"/>
      <c r="K13" s="94"/>
      <c r="L13" s="94"/>
    </row>
    <row r="14" spans="1:14">
      <c r="C14" s="94"/>
      <c r="D14" s="94"/>
      <c r="E14" s="94"/>
      <c r="F14" s="94"/>
      <c r="G14" s="94"/>
      <c r="H14" s="94"/>
      <c r="I14" s="94"/>
      <c r="J14" s="94"/>
      <c r="K14" s="94"/>
      <c r="L14" s="94"/>
    </row>
    <row r="15" spans="1:14">
      <c r="C15" s="94"/>
      <c r="D15" s="94"/>
      <c r="E15" s="94"/>
      <c r="F15" s="94"/>
      <c r="G15" s="94"/>
      <c r="H15" s="94"/>
      <c r="I15" s="94"/>
      <c r="J15" s="94"/>
      <c r="K15" s="94"/>
      <c r="L15" s="94"/>
    </row>
    <row r="16" spans="1:14">
      <c r="C16" s="94"/>
      <c r="D16" s="94"/>
      <c r="E16" s="94"/>
      <c r="F16" s="94"/>
      <c r="G16" s="94"/>
      <c r="H16" s="94"/>
      <c r="I16" s="94"/>
      <c r="J16" s="94"/>
      <c r="K16" s="94"/>
      <c r="L16" s="94"/>
    </row>
    <row r="17" spans="3:12">
      <c r="C17" s="68"/>
      <c r="D17" s="68"/>
      <c r="E17" s="68"/>
      <c r="F17" s="68"/>
      <c r="G17" s="68"/>
      <c r="H17" s="68"/>
      <c r="I17" s="68"/>
      <c r="J17" s="68"/>
      <c r="K17" s="68"/>
      <c r="L17" s="68"/>
    </row>
  </sheetData>
  <mergeCells count="15">
    <mergeCell ref="C14:L14"/>
    <mergeCell ref="C15:L15"/>
    <mergeCell ref="C16:L16"/>
    <mergeCell ref="C8:L8"/>
    <mergeCell ref="C9:L9"/>
    <mergeCell ref="C10:L10"/>
    <mergeCell ref="C11:L11"/>
    <mergeCell ref="C12:L12"/>
    <mergeCell ref="C13:L13"/>
    <mergeCell ref="C7:L7"/>
    <mergeCell ref="F2:L2"/>
    <mergeCell ref="B3:L3"/>
    <mergeCell ref="B4:L4"/>
    <mergeCell ref="C5:L5"/>
    <mergeCell ref="C6:L6"/>
  </mergeCells>
  <phoneticPr fontId="1"/>
  <dataValidations count="2">
    <dataValidation type="list" allowBlank="1" showInputMessage="1" showErrorMessage="1" sqref="B2" xr:uid="{00000000-0002-0000-0600-000000000000}">
      <formula1>"Addressed,Open,Closed"</formula1>
    </dataValidation>
    <dataValidation type="list" allowBlank="1" showInputMessage="1" showErrorMessage="1" sqref="L1" xr:uid="{00000000-0002-0000-0600-000001000000}">
      <formula1>"CR,MJ,MN,REF"</formula1>
    </dataValidation>
  </dataValidations>
  <hyperlinks>
    <hyperlink ref="M1" location="DashBoard!A1" display="To DashBoard" xr:uid="{00000000-0004-0000-0600-000000000000}"/>
  </hyperlink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2000000}">
          <x14:formula1>
            <xm:f>db!$A$1:$B$1</xm:f>
          </x14:formula1>
          <xm:sqref>B6:B1048576 D1:D2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Q17"/>
  <sheetViews>
    <sheetView zoomScale="115" zoomScaleNormal="115" workbookViewId="0">
      <pane ySplit="5" topLeftCell="A21" activePane="bottomLeft" state="frozen"/>
      <selection pane="bottomLeft" activeCell="B4" sqref="B4:L4"/>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9" style="26"/>
  </cols>
  <sheetData>
    <row r="1" spans="1:14" ht="31.5" thickBot="1">
      <c r="A1" s="8" t="s">
        <v>24</v>
      </c>
      <c r="B1" s="10">
        <v>6</v>
      </c>
      <c r="C1" s="16" t="s">
        <v>2</v>
      </c>
      <c r="D1" s="13" t="s">
        <v>42</v>
      </c>
      <c r="E1" s="19" t="s">
        <v>5</v>
      </c>
      <c r="F1" s="20">
        <v>43782</v>
      </c>
      <c r="G1" s="17" t="s">
        <v>11</v>
      </c>
      <c r="H1" s="63">
        <v>43784</v>
      </c>
      <c r="I1" s="17" t="s">
        <v>12</v>
      </c>
      <c r="J1" s="18"/>
      <c r="K1" s="16" t="s">
        <v>10</v>
      </c>
      <c r="L1" s="13" t="s">
        <v>38</v>
      </c>
      <c r="M1" s="5" t="s">
        <v>14</v>
      </c>
    </row>
    <row r="2" spans="1:14" ht="28.5" customHeight="1" thickBot="1">
      <c r="A2" s="9" t="s">
        <v>9</v>
      </c>
      <c r="B2" s="13" t="s">
        <v>56</v>
      </c>
      <c r="C2" s="21" t="s">
        <v>23</v>
      </c>
      <c r="D2" s="10" t="s">
        <v>35</v>
      </c>
      <c r="E2" s="17" t="s">
        <v>15</v>
      </c>
      <c r="F2" s="97"/>
      <c r="G2" s="98"/>
      <c r="H2" s="98"/>
      <c r="I2" s="98"/>
      <c r="J2" s="98"/>
      <c r="K2" s="98"/>
      <c r="L2" s="99"/>
    </row>
    <row r="3" spans="1:14" ht="15.65" customHeight="1" thickBot="1">
      <c r="A3" s="9" t="s">
        <v>6</v>
      </c>
      <c r="B3" s="100" t="s">
        <v>75</v>
      </c>
      <c r="C3" s="101"/>
      <c r="D3" s="101"/>
      <c r="E3" s="101"/>
      <c r="F3" s="101"/>
      <c r="G3" s="101"/>
      <c r="H3" s="101"/>
      <c r="I3" s="101"/>
      <c r="J3" s="101"/>
      <c r="K3" s="101"/>
      <c r="L3" s="102"/>
      <c r="M3" s="14" t="s">
        <v>16</v>
      </c>
    </row>
    <row r="4" spans="1:14" ht="57.65" customHeight="1" thickBot="1">
      <c r="A4" s="22" t="s">
        <v>7</v>
      </c>
      <c r="B4" s="103" t="s">
        <v>107</v>
      </c>
      <c r="C4" s="94"/>
      <c r="D4" s="94"/>
      <c r="E4" s="94"/>
      <c r="F4" s="94"/>
      <c r="G4" s="94"/>
      <c r="H4" s="94"/>
      <c r="I4" s="94"/>
      <c r="J4" s="94"/>
      <c r="K4" s="94"/>
      <c r="L4" s="94"/>
      <c r="M4" s="15" t="s">
        <v>21</v>
      </c>
      <c r="N4" s="4"/>
    </row>
    <row r="5" spans="1:14" ht="16" thickBot="1">
      <c r="A5" s="12" t="s">
        <v>3</v>
      </c>
      <c r="B5" s="11" t="s">
        <v>4</v>
      </c>
      <c r="C5" s="106" t="s">
        <v>8</v>
      </c>
      <c r="D5" s="107"/>
      <c r="E5" s="107"/>
      <c r="F5" s="107"/>
      <c r="G5" s="107"/>
      <c r="H5" s="107"/>
      <c r="I5" s="107"/>
      <c r="J5" s="107"/>
      <c r="K5" s="107"/>
      <c r="L5" s="108"/>
      <c r="M5" s="23"/>
      <c r="N5" s="6"/>
    </row>
    <row r="6" spans="1:14" ht="33" customHeight="1" thickTop="1" thickBot="1">
      <c r="A6" s="75">
        <v>43782</v>
      </c>
      <c r="B6" s="7" t="s">
        <v>42</v>
      </c>
      <c r="C6" s="109" t="s">
        <v>76</v>
      </c>
      <c r="D6" s="109"/>
      <c r="E6" s="109"/>
      <c r="F6" s="109"/>
      <c r="G6" s="109"/>
      <c r="H6" s="109"/>
      <c r="I6" s="109"/>
      <c r="J6" s="109"/>
      <c r="K6" s="109"/>
      <c r="L6" s="109"/>
    </row>
    <row r="7" spans="1:14" ht="118" customHeight="1" thickTop="1">
      <c r="A7" s="2">
        <v>43783</v>
      </c>
      <c r="B7" s="7" t="s">
        <v>35</v>
      </c>
      <c r="C7" s="109" t="s">
        <v>94</v>
      </c>
      <c r="D7" s="109"/>
      <c r="E7" s="109"/>
      <c r="F7" s="109"/>
      <c r="G7" s="109"/>
      <c r="H7" s="109"/>
      <c r="I7" s="109"/>
      <c r="J7" s="109"/>
      <c r="K7" s="109"/>
      <c r="L7" s="109"/>
    </row>
    <row r="8" spans="1:14">
      <c r="C8" s="94"/>
      <c r="D8" s="94"/>
      <c r="E8" s="94"/>
      <c r="F8" s="94"/>
      <c r="G8" s="94"/>
      <c r="H8" s="94"/>
      <c r="I8" s="94"/>
      <c r="J8" s="94"/>
      <c r="K8" s="94"/>
      <c r="L8" s="94"/>
    </row>
    <row r="9" spans="1:14">
      <c r="C9" s="94"/>
      <c r="D9" s="94"/>
      <c r="E9" s="94"/>
      <c r="F9" s="94"/>
      <c r="G9" s="94"/>
      <c r="H9" s="94"/>
      <c r="I9" s="94"/>
      <c r="J9" s="94"/>
      <c r="K9" s="94"/>
      <c r="L9" s="94"/>
    </row>
    <row r="10" spans="1:14">
      <c r="C10" s="105"/>
      <c r="D10" s="94"/>
      <c r="E10" s="94"/>
      <c r="F10" s="94"/>
      <c r="G10" s="94"/>
      <c r="H10" s="94"/>
      <c r="I10" s="94"/>
      <c r="J10" s="94"/>
      <c r="K10" s="94"/>
      <c r="L10" s="94"/>
    </row>
    <row r="11" spans="1:14">
      <c r="C11" s="94"/>
      <c r="D11" s="94"/>
      <c r="E11" s="94"/>
      <c r="F11" s="94"/>
      <c r="G11" s="94"/>
      <c r="H11" s="94"/>
      <c r="I11" s="94"/>
      <c r="J11" s="94"/>
      <c r="K11" s="94"/>
      <c r="L11" s="94"/>
    </row>
    <row r="12" spans="1:14">
      <c r="C12" s="94"/>
      <c r="D12" s="94"/>
      <c r="E12" s="94"/>
      <c r="F12" s="94"/>
      <c r="G12" s="94"/>
      <c r="H12" s="94"/>
      <c r="I12" s="94"/>
      <c r="J12" s="94"/>
      <c r="K12" s="94"/>
      <c r="L12" s="94"/>
    </row>
    <row r="13" spans="1:14">
      <c r="C13" s="94"/>
      <c r="D13" s="94"/>
      <c r="E13" s="94"/>
      <c r="F13" s="94"/>
      <c r="G13" s="94"/>
      <c r="H13" s="94"/>
      <c r="I13" s="94"/>
      <c r="J13" s="94"/>
      <c r="K13" s="94"/>
      <c r="L13" s="94"/>
    </row>
    <row r="14" spans="1:14">
      <c r="C14" s="94"/>
      <c r="D14" s="94"/>
      <c r="E14" s="94"/>
      <c r="F14" s="94"/>
      <c r="G14" s="94"/>
      <c r="H14" s="94"/>
      <c r="I14" s="94"/>
      <c r="J14" s="94"/>
      <c r="K14" s="94"/>
      <c r="L14" s="94"/>
    </row>
    <row r="15" spans="1:14">
      <c r="C15" s="94"/>
      <c r="D15" s="94"/>
      <c r="E15" s="94"/>
      <c r="F15" s="94"/>
      <c r="G15" s="94"/>
      <c r="H15" s="94"/>
      <c r="I15" s="94"/>
      <c r="J15" s="94"/>
      <c r="K15" s="94"/>
      <c r="L15" s="94"/>
    </row>
    <row r="16" spans="1:14">
      <c r="C16" s="94"/>
      <c r="D16" s="94"/>
      <c r="E16" s="94"/>
      <c r="F16" s="94"/>
      <c r="G16" s="94"/>
      <c r="H16" s="94"/>
      <c r="I16" s="94"/>
      <c r="J16" s="94"/>
      <c r="K16" s="94"/>
      <c r="L16" s="94"/>
    </row>
    <row r="17" spans="3:12">
      <c r="C17" s="72"/>
      <c r="D17" s="72"/>
      <c r="E17" s="72"/>
      <c r="F17" s="72"/>
      <c r="G17" s="72"/>
      <c r="H17" s="72"/>
      <c r="I17" s="72"/>
      <c r="J17" s="72"/>
      <c r="K17" s="72"/>
      <c r="L17" s="72"/>
    </row>
  </sheetData>
  <mergeCells count="15">
    <mergeCell ref="C7:L7"/>
    <mergeCell ref="F2:L2"/>
    <mergeCell ref="B3:L3"/>
    <mergeCell ref="B4:L4"/>
    <mergeCell ref="C5:L5"/>
    <mergeCell ref="C6:L6"/>
    <mergeCell ref="C14:L14"/>
    <mergeCell ref="C15:L15"/>
    <mergeCell ref="C16:L16"/>
    <mergeCell ref="C8:L8"/>
    <mergeCell ref="C9:L9"/>
    <mergeCell ref="C10:L10"/>
    <mergeCell ref="C11:L11"/>
    <mergeCell ref="C12:L12"/>
    <mergeCell ref="C13:L13"/>
  </mergeCells>
  <phoneticPr fontId="1"/>
  <dataValidations count="2">
    <dataValidation type="list" allowBlank="1" showInputMessage="1" showErrorMessage="1" sqref="B2" xr:uid="{00000000-0002-0000-0700-000000000000}">
      <formula1>"Addressed,Open,Closed"</formula1>
    </dataValidation>
    <dataValidation type="list" allowBlank="1" showInputMessage="1" showErrorMessage="1" sqref="L1" xr:uid="{00000000-0002-0000-0700-000001000000}">
      <formula1>"CR,MJ,MN,REF"</formula1>
    </dataValidation>
  </dataValidations>
  <hyperlinks>
    <hyperlink ref="M1" location="DashBoard!A1" display="To DashBoard" xr:uid="{00000000-0004-0000-0700-000000000000}"/>
  </hyperlinks>
  <pageMargins left="0.7" right="0.7" top="0.75" bottom="0.75" header="0.3" footer="0.3"/>
  <pageSetup paperSize="9" orientation="portrait"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2000000}">
          <x14:formula1>
            <xm:f>db!$A$1:$B$1</xm:f>
          </x14:formula1>
          <xm:sqref>D1:D2 B6:B1048576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5ACE4-30DE-459F-B880-99B99DB80CA7}">
  <sheetPr codeName="Sheet12"/>
  <dimension ref="A1:Q13"/>
  <sheetViews>
    <sheetView zoomScale="115" zoomScaleNormal="115" workbookViewId="0">
      <pane ySplit="5" topLeftCell="A6" activePane="bottomLeft" state="frozen"/>
      <selection pane="bottomLeft" activeCell="B4" sqref="B4:L4"/>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8.7265625" style="26"/>
  </cols>
  <sheetData>
    <row r="1" spans="1:14" ht="31.5" thickBot="1">
      <c r="A1" s="8" t="s">
        <v>24</v>
      </c>
      <c r="B1" s="10">
        <v>7</v>
      </c>
      <c r="C1" s="16" t="s">
        <v>2</v>
      </c>
      <c r="D1" s="13" t="s">
        <v>35</v>
      </c>
      <c r="E1" s="19" t="s">
        <v>5</v>
      </c>
      <c r="F1" s="20">
        <v>43782</v>
      </c>
      <c r="G1" s="17" t="s">
        <v>11</v>
      </c>
      <c r="H1" s="18">
        <v>43784</v>
      </c>
      <c r="I1" s="17" t="s">
        <v>12</v>
      </c>
      <c r="J1" s="18"/>
      <c r="K1" s="16" t="s">
        <v>10</v>
      </c>
      <c r="L1" s="13" t="s">
        <v>95</v>
      </c>
      <c r="M1" s="5" t="s">
        <v>14</v>
      </c>
    </row>
    <row r="2" spans="1:14" ht="28.5" customHeight="1" thickBot="1">
      <c r="A2" s="9" t="s">
        <v>9</v>
      </c>
      <c r="B2" s="13" t="s">
        <v>43</v>
      </c>
      <c r="C2" s="21" t="s">
        <v>23</v>
      </c>
      <c r="D2" s="10" t="s">
        <v>35</v>
      </c>
      <c r="E2" s="17" t="s">
        <v>15</v>
      </c>
      <c r="F2" s="82"/>
      <c r="G2" s="83"/>
      <c r="H2" s="83"/>
      <c r="I2" s="83"/>
      <c r="J2" s="83"/>
      <c r="K2" s="83"/>
      <c r="L2" s="84"/>
    </row>
    <row r="3" spans="1:14" ht="15.65" customHeight="1" thickBot="1">
      <c r="A3" s="9" t="s">
        <v>6</v>
      </c>
      <c r="B3" s="85" t="s">
        <v>96</v>
      </c>
      <c r="C3" s="86"/>
      <c r="D3" s="86"/>
      <c r="E3" s="86"/>
      <c r="F3" s="86"/>
      <c r="G3" s="86"/>
      <c r="H3" s="86"/>
      <c r="I3" s="86"/>
      <c r="J3" s="86"/>
      <c r="K3" s="86"/>
      <c r="L3" s="87"/>
      <c r="M3" s="14" t="s">
        <v>16</v>
      </c>
    </row>
    <row r="4" spans="1:14" ht="57.65" customHeight="1">
      <c r="A4" s="22" t="s">
        <v>7</v>
      </c>
      <c r="B4" s="88" t="s">
        <v>97</v>
      </c>
      <c r="C4" s="89"/>
      <c r="D4" s="89"/>
      <c r="E4" s="89"/>
      <c r="F4" s="89"/>
      <c r="G4" s="89"/>
      <c r="H4" s="89"/>
      <c r="I4" s="89"/>
      <c r="J4" s="89"/>
      <c r="K4" s="89"/>
      <c r="L4" s="90"/>
      <c r="M4" s="65" t="s">
        <v>21</v>
      </c>
      <c r="N4" s="4"/>
    </row>
    <row r="5" spans="1:14">
      <c r="A5" s="66" t="s">
        <v>3</v>
      </c>
      <c r="B5" s="27" t="s">
        <v>4</v>
      </c>
      <c r="C5" s="91" t="s">
        <v>8</v>
      </c>
      <c r="D5" s="92"/>
      <c r="E5" s="92"/>
      <c r="F5" s="92"/>
      <c r="G5" s="92"/>
      <c r="H5" s="92"/>
      <c r="I5" s="92"/>
      <c r="J5" s="92"/>
      <c r="K5" s="92"/>
      <c r="L5" s="93"/>
      <c r="M5" s="67"/>
      <c r="N5" s="4"/>
    </row>
    <row r="6" spans="1:14" ht="30" customHeight="1">
      <c r="A6" s="64">
        <v>43763</v>
      </c>
      <c r="B6" s="27" t="s">
        <v>35</v>
      </c>
      <c r="C6" s="79" t="s">
        <v>97</v>
      </c>
      <c r="D6" s="80"/>
      <c r="E6" s="80"/>
      <c r="F6" s="80"/>
      <c r="G6" s="80"/>
      <c r="H6" s="80"/>
      <c r="I6" s="80"/>
      <c r="J6" s="80"/>
      <c r="K6" s="80"/>
      <c r="L6" s="81"/>
      <c r="M6" s="27"/>
    </row>
    <row r="7" spans="1:14" s="26" customFormat="1">
      <c r="A7" s="2"/>
      <c r="C7" s="95"/>
      <c r="D7" s="95"/>
      <c r="E7" s="95"/>
      <c r="F7" s="95"/>
      <c r="G7" s="95"/>
      <c r="H7" s="95"/>
      <c r="I7" s="95"/>
      <c r="J7" s="95"/>
      <c r="K7" s="95"/>
      <c r="L7" s="95"/>
    </row>
    <row r="8" spans="1:14" s="26" customFormat="1">
      <c r="A8" s="2"/>
      <c r="C8" s="94"/>
      <c r="D8" s="94"/>
      <c r="E8" s="94"/>
      <c r="F8" s="94"/>
      <c r="G8" s="94"/>
      <c r="H8" s="94"/>
      <c r="I8" s="94"/>
      <c r="J8" s="94"/>
      <c r="K8" s="94"/>
      <c r="L8" s="94"/>
    </row>
    <row r="9" spans="1:14" s="26" customFormat="1">
      <c r="A9" s="2"/>
      <c r="C9" s="94"/>
      <c r="D9" s="94"/>
      <c r="E9" s="94"/>
      <c r="F9" s="94"/>
      <c r="G9" s="94"/>
      <c r="H9" s="94"/>
      <c r="I9" s="94"/>
      <c r="J9" s="94"/>
      <c r="K9" s="94"/>
      <c r="L9" s="94"/>
    </row>
    <row r="10" spans="1:14" s="26" customFormat="1">
      <c r="A10" s="2"/>
      <c r="B10"/>
      <c r="C10" s="94"/>
      <c r="D10" s="94"/>
      <c r="E10" s="94"/>
      <c r="F10" s="94"/>
      <c r="G10" s="94"/>
      <c r="H10" s="94"/>
      <c r="I10" s="94"/>
      <c r="J10" s="94"/>
      <c r="K10" s="94"/>
      <c r="L10" s="94"/>
    </row>
    <row r="11" spans="1:14" s="26" customFormat="1">
      <c r="A11" s="2"/>
      <c r="C11" s="94"/>
      <c r="D11" s="94"/>
      <c r="E11" s="94"/>
      <c r="F11" s="94"/>
      <c r="G11" s="94"/>
      <c r="H11" s="94"/>
      <c r="I11" s="94"/>
      <c r="J11" s="94"/>
      <c r="K11" s="94"/>
      <c r="L11" s="94"/>
    </row>
    <row r="12" spans="1:14" s="26" customFormat="1">
      <c r="A12" s="2"/>
      <c r="C12" s="94"/>
      <c r="D12" s="94"/>
      <c r="E12" s="94"/>
      <c r="F12" s="94"/>
      <c r="G12" s="94"/>
      <c r="H12" s="94"/>
      <c r="I12" s="94"/>
      <c r="J12" s="94"/>
      <c r="K12" s="94"/>
      <c r="L12" s="94"/>
    </row>
    <row r="13" spans="1:14" s="26" customFormat="1">
      <c r="A13" s="2"/>
      <c r="C13" s="73"/>
      <c r="D13" s="73"/>
      <c r="E13" s="73"/>
      <c r="F13" s="73"/>
      <c r="G13" s="73"/>
      <c r="H13" s="73"/>
      <c r="I13" s="73"/>
      <c r="J13" s="73"/>
      <c r="K13" s="73"/>
      <c r="L13" s="73"/>
    </row>
  </sheetData>
  <mergeCells count="11">
    <mergeCell ref="F2:L2"/>
    <mergeCell ref="B3:L3"/>
    <mergeCell ref="B4:L4"/>
    <mergeCell ref="C5:L5"/>
    <mergeCell ref="C6:L6"/>
    <mergeCell ref="C10:L10"/>
    <mergeCell ref="C11:L11"/>
    <mergeCell ref="C12:L12"/>
    <mergeCell ref="C7:L7"/>
    <mergeCell ref="C8:L8"/>
    <mergeCell ref="C9:L9"/>
  </mergeCells>
  <dataValidations count="2">
    <dataValidation type="list" allowBlank="1" showInputMessage="1" showErrorMessage="1" sqref="L1" xr:uid="{BA91681D-C7AE-4D20-87C8-130E6846B14D}">
      <formula1>"CR,MJ,MN,REF"</formula1>
    </dataValidation>
    <dataValidation type="list" allowBlank="1" showInputMessage="1" showErrorMessage="1" sqref="B2" xr:uid="{63B7E378-5213-43F4-B8FB-E6D29FBC3275}">
      <formula1>"Addressed,Open,Closed"</formula1>
    </dataValidation>
  </dataValidations>
  <hyperlinks>
    <hyperlink ref="M1" location="DashBoard!A1" display="To DashBoard" xr:uid="{5EBB7F49-B49A-442A-A4DF-4A0B7668BB82}"/>
  </hyperlinks>
  <pageMargins left="0.7" right="0.7" top="0.75" bottom="0.75" header="0.3" footer="0.3"/>
  <pageSetup paperSize="9" orientation="portrait" verticalDpi="30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CF6BEBF-ED3C-4DAA-AB1D-F370F545B983}">
          <x14:formula1>
            <xm:f>db!$A$1:$B$1</xm:f>
          </x14:formula1>
          <xm:sqref>D1:D2 B6:B9 B11:B1048576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81683-8F46-4D2E-9D88-33AE1644F841}">
  <sheetPr codeName="Sheet13"/>
  <dimension ref="A1:Q13"/>
  <sheetViews>
    <sheetView zoomScale="115" zoomScaleNormal="115" workbookViewId="0">
      <pane ySplit="5" topLeftCell="A6" activePane="bottomLeft" state="frozen"/>
      <selection pane="bottomLeft" activeCell="C9" sqref="C9:L9"/>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8.7265625" style="26"/>
  </cols>
  <sheetData>
    <row r="1" spans="1:14" ht="31.5" thickBot="1">
      <c r="A1" s="8" t="s">
        <v>24</v>
      </c>
      <c r="B1" s="10">
        <v>8</v>
      </c>
      <c r="C1" s="16" t="s">
        <v>2</v>
      </c>
      <c r="D1" s="13" t="s">
        <v>35</v>
      </c>
      <c r="E1" s="19" t="s">
        <v>5</v>
      </c>
      <c r="F1" s="76">
        <v>43782</v>
      </c>
      <c r="G1" s="17" t="s">
        <v>11</v>
      </c>
      <c r="H1" s="18">
        <v>43784</v>
      </c>
      <c r="I1" s="17" t="s">
        <v>12</v>
      </c>
      <c r="J1" s="18"/>
      <c r="K1" s="16" t="s">
        <v>10</v>
      </c>
      <c r="L1" s="13" t="s">
        <v>38</v>
      </c>
      <c r="M1" s="5" t="s">
        <v>14</v>
      </c>
    </row>
    <row r="2" spans="1:14" ht="28.5" customHeight="1" thickBot="1">
      <c r="A2" s="9" t="s">
        <v>9</v>
      </c>
      <c r="B2" s="13" t="s">
        <v>43</v>
      </c>
      <c r="C2" s="21" t="s">
        <v>23</v>
      </c>
      <c r="D2" s="10" t="s">
        <v>35</v>
      </c>
      <c r="E2" s="17" t="s">
        <v>15</v>
      </c>
      <c r="F2" s="82"/>
      <c r="G2" s="83"/>
      <c r="H2" s="83"/>
      <c r="I2" s="83"/>
      <c r="J2" s="83"/>
      <c r="K2" s="83"/>
      <c r="L2" s="84"/>
    </row>
    <row r="3" spans="1:14" ht="15.65" customHeight="1" thickBot="1">
      <c r="A3" s="9" t="s">
        <v>6</v>
      </c>
      <c r="B3" s="85" t="s">
        <v>100</v>
      </c>
      <c r="C3" s="86"/>
      <c r="D3" s="86"/>
      <c r="E3" s="86"/>
      <c r="F3" s="86"/>
      <c r="G3" s="86"/>
      <c r="H3" s="86"/>
      <c r="I3" s="86"/>
      <c r="J3" s="86"/>
      <c r="K3" s="86"/>
      <c r="L3" s="87"/>
      <c r="M3" s="14" t="s">
        <v>16</v>
      </c>
    </row>
    <row r="4" spans="1:14" ht="57.65" customHeight="1">
      <c r="A4" s="22" t="s">
        <v>7</v>
      </c>
      <c r="B4" s="88" t="s">
        <v>102</v>
      </c>
      <c r="C4" s="89"/>
      <c r="D4" s="89"/>
      <c r="E4" s="89"/>
      <c r="F4" s="89"/>
      <c r="G4" s="89"/>
      <c r="H4" s="89"/>
      <c r="I4" s="89"/>
      <c r="J4" s="89"/>
      <c r="K4" s="89"/>
      <c r="L4" s="90"/>
      <c r="M4" s="65" t="s">
        <v>21</v>
      </c>
      <c r="N4" s="4"/>
    </row>
    <row r="5" spans="1:14">
      <c r="A5" s="66" t="s">
        <v>3</v>
      </c>
      <c r="B5" s="27" t="s">
        <v>4</v>
      </c>
      <c r="C5" s="91" t="s">
        <v>8</v>
      </c>
      <c r="D5" s="92"/>
      <c r="E5" s="92"/>
      <c r="F5" s="92"/>
      <c r="G5" s="92"/>
      <c r="H5" s="92"/>
      <c r="I5" s="92"/>
      <c r="J5" s="92"/>
      <c r="K5" s="92"/>
      <c r="L5" s="93"/>
      <c r="M5" s="67"/>
      <c r="N5" s="4"/>
    </row>
    <row r="6" spans="1:14" ht="30" customHeight="1">
      <c r="A6" s="64">
        <v>43763</v>
      </c>
      <c r="B6" s="27" t="s">
        <v>35</v>
      </c>
      <c r="C6" s="79" t="s">
        <v>108</v>
      </c>
      <c r="D6" s="80"/>
      <c r="E6" s="80"/>
      <c r="F6" s="80"/>
      <c r="G6" s="80"/>
      <c r="H6" s="80"/>
      <c r="I6" s="80"/>
      <c r="J6" s="80"/>
      <c r="K6" s="80"/>
      <c r="L6" s="81"/>
      <c r="M6" s="27"/>
    </row>
    <row r="7" spans="1:14" s="26" customFormat="1">
      <c r="A7" s="2"/>
      <c r="C7" s="95"/>
      <c r="D7" s="95"/>
      <c r="E7" s="95"/>
      <c r="F7" s="95"/>
      <c r="G7" s="95"/>
      <c r="H7" s="95"/>
      <c r="I7" s="95"/>
      <c r="J7" s="95"/>
      <c r="K7" s="95"/>
      <c r="L7" s="95"/>
    </row>
    <row r="8" spans="1:14" s="26" customFormat="1">
      <c r="A8" s="2"/>
      <c r="C8" s="94"/>
      <c r="D8" s="94"/>
      <c r="E8" s="94"/>
      <c r="F8" s="94"/>
      <c r="G8" s="94"/>
      <c r="H8" s="94"/>
      <c r="I8" s="94"/>
      <c r="J8" s="94"/>
      <c r="K8" s="94"/>
      <c r="L8" s="94"/>
    </row>
    <row r="9" spans="1:14" s="26" customFormat="1">
      <c r="A9" s="2"/>
      <c r="C9" s="94"/>
      <c r="D9" s="94"/>
      <c r="E9" s="94"/>
      <c r="F9" s="94"/>
      <c r="G9" s="94"/>
      <c r="H9" s="94"/>
      <c r="I9" s="94"/>
      <c r="J9" s="94"/>
      <c r="K9" s="94"/>
      <c r="L9" s="94"/>
    </row>
    <row r="10" spans="1:14" s="26" customFormat="1">
      <c r="A10" s="2"/>
      <c r="B10"/>
      <c r="C10" s="94"/>
      <c r="D10" s="94"/>
      <c r="E10" s="94"/>
      <c r="F10" s="94"/>
      <c r="G10" s="94"/>
      <c r="H10" s="94"/>
      <c r="I10" s="94"/>
      <c r="J10" s="94"/>
      <c r="K10" s="94"/>
      <c r="L10" s="94"/>
    </row>
    <row r="11" spans="1:14" s="26" customFormat="1">
      <c r="A11" s="2"/>
      <c r="C11" s="94"/>
      <c r="D11" s="94"/>
      <c r="E11" s="94"/>
      <c r="F11" s="94"/>
      <c r="G11" s="94"/>
      <c r="H11" s="94"/>
      <c r="I11" s="94"/>
      <c r="J11" s="94"/>
      <c r="K11" s="94"/>
      <c r="L11" s="94"/>
    </row>
    <row r="12" spans="1:14" s="26" customFormat="1">
      <c r="A12" s="2"/>
      <c r="C12" s="94"/>
      <c r="D12" s="94"/>
      <c r="E12" s="94"/>
      <c r="F12" s="94"/>
      <c r="G12" s="94"/>
      <c r="H12" s="94"/>
      <c r="I12" s="94"/>
      <c r="J12" s="94"/>
      <c r="K12" s="94"/>
      <c r="L12" s="94"/>
    </row>
    <row r="13" spans="1:14" s="26" customFormat="1">
      <c r="A13" s="2"/>
      <c r="C13" s="74"/>
      <c r="D13" s="74"/>
      <c r="E13" s="74"/>
      <c r="F13" s="74"/>
      <c r="G13" s="74"/>
      <c r="H13" s="74"/>
      <c r="I13" s="74"/>
      <c r="J13" s="74"/>
      <c r="K13" s="74"/>
      <c r="L13" s="74"/>
    </row>
  </sheetData>
  <mergeCells count="11">
    <mergeCell ref="C8:L8"/>
    <mergeCell ref="C9:L9"/>
    <mergeCell ref="C10:L10"/>
    <mergeCell ref="C11:L11"/>
    <mergeCell ref="C12:L12"/>
    <mergeCell ref="C7:L7"/>
    <mergeCell ref="F2:L2"/>
    <mergeCell ref="B3:L3"/>
    <mergeCell ref="B4:L4"/>
    <mergeCell ref="C5:L5"/>
    <mergeCell ref="C6:L6"/>
  </mergeCells>
  <dataValidations count="2">
    <dataValidation type="list" allowBlank="1" showInputMessage="1" showErrorMessage="1" sqref="B2" xr:uid="{29E9136B-3213-4A48-9FBC-5D54DA8ABB0A}">
      <formula1>"Addressed,Open,Closed"</formula1>
    </dataValidation>
    <dataValidation type="list" allowBlank="1" showInputMessage="1" showErrorMessage="1" sqref="L1" xr:uid="{CAC33923-9FD8-44C0-A835-26E72E524812}">
      <formula1>"CR,MJ,MN,REF"</formula1>
    </dataValidation>
  </dataValidations>
  <hyperlinks>
    <hyperlink ref="M1" location="DashBoard!A1" display="To DashBoard" xr:uid="{6E6CCC5E-9949-4635-BB87-27DBAEA3D74F}"/>
  </hyperlinks>
  <pageMargins left="0.7" right="0.7" top="0.75" bottom="0.75" header="0.3" footer="0.3"/>
  <pageSetup paperSize="9" orientation="portrait" verticalDpi="30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0406044-77C5-40C5-89AE-4CD3842F6186}">
          <x14:formula1>
            <xm:f>db!$A$1:$B$1</xm:f>
          </x14:formula1>
          <xm:sqref>D1:D2 B6:B9 B11:B1048576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BE26D-CA8E-4EF5-B79B-57964781C23F}">
  <sheetPr codeName="Sheet14"/>
  <dimension ref="A1:Q13"/>
  <sheetViews>
    <sheetView tabSelected="1" zoomScale="115" zoomScaleNormal="115" workbookViewId="0">
      <pane ySplit="5" topLeftCell="A6" activePane="bottomLeft" state="frozen"/>
      <selection pane="bottomLeft" activeCell="B4" sqref="B4:L4"/>
    </sheetView>
  </sheetViews>
  <sheetFormatPr defaultRowHeight="15.5"/>
  <cols>
    <col min="1" max="1" width="15.6328125" style="2" customWidth="1"/>
    <col min="2" max="2" width="12.6328125" style="26" customWidth="1"/>
    <col min="3" max="4" width="10.6328125" style="26" customWidth="1"/>
    <col min="5" max="5" width="12.26953125" style="26" customWidth="1"/>
    <col min="6" max="6" width="13.08984375" style="26" customWidth="1"/>
    <col min="7" max="7" width="10.6328125" style="26" customWidth="1"/>
    <col min="8" max="8" width="13.08984375" style="26" customWidth="1"/>
    <col min="9" max="9" width="12.90625" style="26" customWidth="1"/>
    <col min="10" max="10" width="13.08984375" style="26" customWidth="1"/>
    <col min="11" max="11" width="10.6328125" style="26" customWidth="1"/>
    <col min="12" max="12" width="5.453125" style="26" customWidth="1"/>
    <col min="13" max="13" width="21.6328125" style="26" customWidth="1"/>
    <col min="14" max="17" width="8.7265625" style="26"/>
  </cols>
  <sheetData>
    <row r="1" spans="1:14" ht="31.5" thickBot="1">
      <c r="A1" s="8" t="s">
        <v>24</v>
      </c>
      <c r="B1" s="10">
        <v>9</v>
      </c>
      <c r="C1" s="16" t="s">
        <v>2</v>
      </c>
      <c r="D1" s="13" t="s">
        <v>35</v>
      </c>
      <c r="E1" s="19" t="s">
        <v>5</v>
      </c>
      <c r="F1" s="76">
        <v>43782</v>
      </c>
      <c r="G1" s="17" t="s">
        <v>11</v>
      </c>
      <c r="H1" s="18">
        <v>43784</v>
      </c>
      <c r="I1" s="17" t="s">
        <v>12</v>
      </c>
      <c r="J1" s="18"/>
      <c r="K1" s="16" t="s">
        <v>10</v>
      </c>
      <c r="L1" s="13" t="s">
        <v>95</v>
      </c>
      <c r="M1" s="5" t="s">
        <v>14</v>
      </c>
    </row>
    <row r="2" spans="1:14" ht="28.5" customHeight="1" thickBot="1">
      <c r="A2" s="9" t="s">
        <v>9</v>
      </c>
      <c r="B2" s="13" t="s">
        <v>43</v>
      </c>
      <c r="C2" s="21" t="s">
        <v>23</v>
      </c>
      <c r="D2" s="10" t="s">
        <v>35</v>
      </c>
      <c r="E2" s="17" t="s">
        <v>15</v>
      </c>
      <c r="F2" s="82"/>
      <c r="G2" s="83"/>
      <c r="H2" s="83"/>
      <c r="I2" s="83"/>
      <c r="J2" s="83"/>
      <c r="K2" s="83"/>
      <c r="L2" s="84"/>
    </row>
    <row r="3" spans="1:14" ht="15.65" customHeight="1" thickBot="1">
      <c r="A3" s="9" t="s">
        <v>6</v>
      </c>
      <c r="B3" s="85" t="s">
        <v>103</v>
      </c>
      <c r="C3" s="86"/>
      <c r="D3" s="86"/>
      <c r="E3" s="86"/>
      <c r="F3" s="86"/>
      <c r="G3" s="86"/>
      <c r="H3" s="86"/>
      <c r="I3" s="86"/>
      <c r="J3" s="86"/>
      <c r="K3" s="86"/>
      <c r="L3" s="87"/>
      <c r="M3" s="14" t="s">
        <v>16</v>
      </c>
    </row>
    <row r="4" spans="1:14" ht="57.65" customHeight="1">
      <c r="A4" s="22" t="s">
        <v>7</v>
      </c>
      <c r="B4" s="88" t="s">
        <v>105</v>
      </c>
      <c r="C4" s="89"/>
      <c r="D4" s="89"/>
      <c r="E4" s="89"/>
      <c r="F4" s="89"/>
      <c r="G4" s="89"/>
      <c r="H4" s="89"/>
      <c r="I4" s="89"/>
      <c r="J4" s="89"/>
      <c r="K4" s="89"/>
      <c r="L4" s="90"/>
      <c r="M4" s="65" t="s">
        <v>21</v>
      </c>
      <c r="N4" s="4"/>
    </row>
    <row r="5" spans="1:14">
      <c r="A5" s="66" t="s">
        <v>3</v>
      </c>
      <c r="B5" s="27" t="s">
        <v>4</v>
      </c>
      <c r="C5" s="91" t="s">
        <v>8</v>
      </c>
      <c r="D5" s="92"/>
      <c r="E5" s="92"/>
      <c r="F5" s="92"/>
      <c r="G5" s="92"/>
      <c r="H5" s="92"/>
      <c r="I5" s="92"/>
      <c r="J5" s="92"/>
      <c r="K5" s="92"/>
      <c r="L5" s="93"/>
      <c r="M5" s="67"/>
      <c r="N5" s="4"/>
    </row>
    <row r="6" spans="1:14" ht="30" customHeight="1">
      <c r="A6" s="64">
        <v>43763</v>
      </c>
      <c r="B6" s="27" t="s">
        <v>35</v>
      </c>
      <c r="C6" s="79" t="s">
        <v>106</v>
      </c>
      <c r="D6" s="80"/>
      <c r="E6" s="80"/>
      <c r="F6" s="80"/>
      <c r="G6" s="80"/>
      <c r="H6" s="80"/>
      <c r="I6" s="80"/>
      <c r="J6" s="80"/>
      <c r="K6" s="80"/>
      <c r="L6" s="81"/>
      <c r="M6" s="27"/>
    </row>
    <row r="7" spans="1:14" s="26" customFormat="1">
      <c r="A7" s="2"/>
      <c r="C7" s="95"/>
      <c r="D7" s="95"/>
      <c r="E7" s="95"/>
      <c r="F7" s="95"/>
      <c r="G7" s="95"/>
      <c r="H7" s="95"/>
      <c r="I7" s="95"/>
      <c r="J7" s="95"/>
      <c r="K7" s="95"/>
      <c r="L7" s="95"/>
    </row>
    <row r="8" spans="1:14" s="26" customFormat="1">
      <c r="A8" s="2"/>
      <c r="C8" s="94"/>
      <c r="D8" s="94"/>
      <c r="E8" s="94"/>
      <c r="F8" s="94"/>
      <c r="G8" s="94"/>
      <c r="H8" s="94"/>
      <c r="I8" s="94"/>
      <c r="J8" s="94"/>
      <c r="K8" s="94"/>
      <c r="L8" s="94"/>
    </row>
    <row r="9" spans="1:14" s="26" customFormat="1">
      <c r="A9" s="2"/>
      <c r="C9" s="94"/>
      <c r="D9" s="94"/>
      <c r="E9" s="94"/>
      <c r="F9" s="94"/>
      <c r="G9" s="94"/>
      <c r="H9" s="94"/>
      <c r="I9" s="94"/>
      <c r="J9" s="94"/>
      <c r="K9" s="94"/>
      <c r="L9" s="94"/>
    </row>
    <row r="10" spans="1:14" s="26" customFormat="1">
      <c r="A10" s="2"/>
      <c r="B10"/>
      <c r="C10" s="94"/>
      <c r="D10" s="94"/>
      <c r="E10" s="94"/>
      <c r="F10" s="94"/>
      <c r="G10" s="94"/>
      <c r="H10" s="94"/>
      <c r="I10" s="94"/>
      <c r="J10" s="94"/>
      <c r="K10" s="94"/>
      <c r="L10" s="94"/>
    </row>
    <row r="11" spans="1:14" s="26" customFormat="1">
      <c r="A11" s="2"/>
      <c r="C11" s="94"/>
      <c r="D11" s="94"/>
      <c r="E11" s="94"/>
      <c r="F11" s="94"/>
      <c r="G11" s="94"/>
      <c r="H11" s="94"/>
      <c r="I11" s="94"/>
      <c r="J11" s="94"/>
      <c r="K11" s="94"/>
      <c r="L11" s="94"/>
    </row>
    <row r="12" spans="1:14" s="26" customFormat="1">
      <c r="A12" s="2"/>
      <c r="C12" s="94"/>
      <c r="D12" s="94"/>
      <c r="E12" s="94"/>
      <c r="F12" s="94"/>
      <c r="G12" s="94"/>
      <c r="H12" s="94"/>
      <c r="I12" s="94"/>
      <c r="J12" s="94"/>
      <c r="K12" s="94"/>
      <c r="L12" s="94"/>
    </row>
    <row r="13" spans="1:14" s="26" customFormat="1">
      <c r="A13" s="2"/>
      <c r="C13" s="74"/>
      <c r="D13" s="74"/>
      <c r="E13" s="74"/>
      <c r="F13" s="74"/>
      <c r="G13" s="74"/>
      <c r="H13" s="74"/>
      <c r="I13" s="74"/>
      <c r="J13" s="74"/>
      <c r="K13" s="74"/>
      <c r="L13" s="74"/>
    </row>
  </sheetData>
  <mergeCells count="11">
    <mergeCell ref="C8:L8"/>
    <mergeCell ref="C9:L9"/>
    <mergeCell ref="C10:L10"/>
    <mergeCell ref="C11:L11"/>
    <mergeCell ref="C12:L12"/>
    <mergeCell ref="C7:L7"/>
    <mergeCell ref="F2:L2"/>
    <mergeCell ref="B3:L3"/>
    <mergeCell ref="B4:L4"/>
    <mergeCell ref="C5:L5"/>
    <mergeCell ref="C6:L6"/>
  </mergeCells>
  <dataValidations count="2">
    <dataValidation type="list" allowBlank="1" showInputMessage="1" showErrorMessage="1" sqref="L1" xr:uid="{F0AF2949-4329-497B-82D7-8C2F26CAAB94}">
      <formula1>"CR,MJ,MN,REF"</formula1>
    </dataValidation>
    <dataValidation type="list" allowBlank="1" showInputMessage="1" showErrorMessage="1" sqref="B2" xr:uid="{3B5F8B77-4DDE-468F-B468-6C96E2A31915}">
      <formula1>"Addressed,Open,Closed"</formula1>
    </dataValidation>
  </dataValidations>
  <hyperlinks>
    <hyperlink ref="M1" location="DashBoard!A1" display="To DashBoard" xr:uid="{F08D71E4-B11D-479B-B7EB-63ABC1F016DC}"/>
  </hyperlinks>
  <pageMargins left="0.7" right="0.7" top="0.75" bottom="0.75" header="0.3" footer="0.3"/>
  <pageSetup paperSize="9" orientation="portrait" verticalDpi="30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1EE497A-DC22-44C8-9F22-483ED81DD2B0}">
          <x14:formula1>
            <xm:f>db!$A$1:$B$1</xm:f>
          </x14:formula1>
          <xm:sqref>D1:D2 B6:B9 B11:B1048576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B1"/>
  <sheetViews>
    <sheetView workbookViewId="0">
      <selection activeCell="B2" sqref="B2"/>
    </sheetView>
  </sheetViews>
  <sheetFormatPr defaultRowHeight="15.5"/>
  <cols>
    <col min="1" max="2" width="8.7265625" style="1"/>
  </cols>
  <sheetData>
    <row r="1" spans="1:2">
      <c r="A1" s="27" t="s">
        <v>1</v>
      </c>
      <c r="B1" s="27" t="s">
        <v>36</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Q17"/>
  <sheetViews>
    <sheetView topLeftCell="F1" workbookViewId="0">
      <pane ySplit="5" topLeftCell="A6" activePane="bottomLeft" state="frozen"/>
      <selection pane="bottomLeft" activeCell="L1" sqref="L1"/>
    </sheetView>
  </sheetViews>
  <sheetFormatPr defaultRowHeight="15.5"/>
  <cols>
    <col min="1" max="1" width="15.6328125" style="2" customWidth="1"/>
    <col min="2" max="2" width="12.6328125" style="1" customWidth="1"/>
    <col min="3" max="4" width="10.6328125" style="1" customWidth="1"/>
    <col min="5" max="5" width="12.26953125" style="1" customWidth="1"/>
    <col min="6" max="6" width="13.08984375" style="1" customWidth="1"/>
    <col min="7" max="7" width="10.6328125" style="1" customWidth="1"/>
    <col min="8" max="8" width="13.08984375" style="1" customWidth="1"/>
    <col min="9" max="9" width="12.90625" style="1" customWidth="1"/>
    <col min="10" max="10" width="13.08984375" style="1" customWidth="1"/>
    <col min="11" max="11" width="10.6328125" style="1" customWidth="1"/>
    <col min="12" max="12" width="5.453125" style="1" customWidth="1"/>
    <col min="13" max="13" width="21.6328125" style="1" customWidth="1"/>
    <col min="14" max="17" width="8.7265625" style="1"/>
  </cols>
  <sheetData>
    <row r="1" spans="1:14" ht="31.5" thickBot="1">
      <c r="A1" s="8" t="s">
        <v>24</v>
      </c>
      <c r="B1" s="10"/>
      <c r="C1" s="16" t="s">
        <v>2</v>
      </c>
      <c r="D1" s="13"/>
      <c r="E1" s="19" t="s">
        <v>5</v>
      </c>
      <c r="F1" s="20"/>
      <c r="G1" s="17" t="s">
        <v>11</v>
      </c>
      <c r="H1" s="18"/>
      <c r="I1" s="17" t="s">
        <v>12</v>
      </c>
      <c r="J1" s="18"/>
      <c r="K1" s="16" t="s">
        <v>10</v>
      </c>
      <c r="L1" s="13"/>
      <c r="M1" s="5" t="s">
        <v>14</v>
      </c>
    </row>
    <row r="2" spans="1:14" ht="28.5" customHeight="1" thickBot="1">
      <c r="A2" s="9" t="s">
        <v>9</v>
      </c>
      <c r="B2" s="13"/>
      <c r="C2" s="21" t="s">
        <v>23</v>
      </c>
      <c r="D2" s="10"/>
      <c r="E2" s="17" t="s">
        <v>15</v>
      </c>
      <c r="F2" s="97"/>
      <c r="G2" s="98"/>
      <c r="H2" s="98"/>
      <c r="I2" s="98"/>
      <c r="J2" s="98"/>
      <c r="K2" s="98"/>
      <c r="L2" s="99"/>
    </row>
    <row r="3" spans="1:14" ht="15.65" customHeight="1" thickBot="1">
      <c r="A3" s="9" t="s">
        <v>6</v>
      </c>
      <c r="B3" s="100"/>
      <c r="C3" s="101"/>
      <c r="D3" s="101"/>
      <c r="E3" s="101"/>
      <c r="F3" s="101"/>
      <c r="G3" s="101"/>
      <c r="H3" s="101"/>
      <c r="I3" s="101"/>
      <c r="J3" s="101"/>
      <c r="K3" s="101"/>
      <c r="L3" s="102"/>
      <c r="M3" s="14" t="s">
        <v>16</v>
      </c>
    </row>
    <row r="4" spans="1:14" ht="57.65" customHeight="1" thickBot="1">
      <c r="A4" s="22" t="s">
        <v>7</v>
      </c>
      <c r="B4" s="103"/>
      <c r="C4" s="94"/>
      <c r="D4" s="94"/>
      <c r="E4" s="94"/>
      <c r="F4" s="94"/>
      <c r="G4" s="94"/>
      <c r="H4" s="94"/>
      <c r="I4" s="94"/>
      <c r="J4" s="94"/>
      <c r="K4" s="94"/>
      <c r="L4" s="94"/>
      <c r="M4" s="15" t="s">
        <v>21</v>
      </c>
      <c r="N4" s="4"/>
    </row>
    <row r="5" spans="1:14" ht="16" thickBot="1">
      <c r="A5" s="12" t="s">
        <v>3</v>
      </c>
      <c r="B5" s="11" t="s">
        <v>4</v>
      </c>
      <c r="C5" s="106" t="s">
        <v>8</v>
      </c>
      <c r="D5" s="107"/>
      <c r="E5" s="107"/>
      <c r="F5" s="107"/>
      <c r="G5" s="107"/>
      <c r="H5" s="107"/>
      <c r="I5" s="107"/>
      <c r="J5" s="107"/>
      <c r="K5" s="107"/>
      <c r="L5" s="108"/>
      <c r="M5" s="23"/>
      <c r="N5" s="6"/>
    </row>
    <row r="6" spans="1:14" ht="16" thickTop="1">
      <c r="B6" s="7"/>
      <c r="C6" s="109"/>
      <c r="D6" s="109"/>
      <c r="E6" s="109"/>
      <c r="F6" s="109"/>
      <c r="G6" s="109"/>
      <c r="H6" s="109"/>
      <c r="I6" s="109"/>
      <c r="J6" s="109"/>
      <c r="K6" s="109"/>
      <c r="L6" s="109"/>
    </row>
    <row r="7" spans="1:14">
      <c r="C7" s="94"/>
      <c r="D7" s="94"/>
      <c r="E7" s="94"/>
      <c r="F7" s="94"/>
      <c r="G7" s="94"/>
      <c r="H7" s="94"/>
      <c r="I7" s="94"/>
      <c r="J7" s="94"/>
      <c r="K7" s="94"/>
      <c r="L7" s="94"/>
    </row>
    <row r="8" spans="1:14">
      <c r="C8" s="94"/>
      <c r="D8" s="94"/>
      <c r="E8" s="94"/>
      <c r="F8" s="94"/>
      <c r="G8" s="94"/>
      <c r="H8" s="94"/>
      <c r="I8" s="94"/>
      <c r="J8" s="94"/>
      <c r="K8" s="94"/>
      <c r="L8" s="94"/>
    </row>
    <row r="9" spans="1:14">
      <c r="C9" s="94"/>
      <c r="D9" s="94"/>
      <c r="E9" s="94"/>
      <c r="F9" s="94"/>
      <c r="G9" s="94"/>
      <c r="H9" s="94"/>
      <c r="I9" s="94"/>
      <c r="J9" s="94"/>
      <c r="K9" s="94"/>
      <c r="L9" s="94"/>
    </row>
    <row r="10" spans="1:14">
      <c r="C10" s="105"/>
      <c r="D10" s="94"/>
      <c r="E10" s="94"/>
      <c r="F10" s="94"/>
      <c r="G10" s="94"/>
      <c r="H10" s="94"/>
      <c r="I10" s="94"/>
      <c r="J10" s="94"/>
      <c r="K10" s="94"/>
      <c r="L10" s="94"/>
    </row>
    <row r="11" spans="1:14">
      <c r="C11" s="94"/>
      <c r="D11" s="94"/>
      <c r="E11" s="94"/>
      <c r="F11" s="94"/>
      <c r="G11" s="94"/>
      <c r="H11" s="94"/>
      <c r="I11" s="94"/>
      <c r="J11" s="94"/>
      <c r="K11" s="94"/>
      <c r="L11" s="94"/>
    </row>
    <row r="12" spans="1:14">
      <c r="C12" s="94"/>
      <c r="D12" s="94"/>
      <c r="E12" s="94"/>
      <c r="F12" s="94"/>
      <c r="G12" s="94"/>
      <c r="H12" s="94"/>
      <c r="I12" s="94"/>
      <c r="J12" s="94"/>
      <c r="K12" s="94"/>
      <c r="L12" s="94"/>
    </row>
    <row r="13" spans="1:14">
      <c r="C13" s="94"/>
      <c r="D13" s="94"/>
      <c r="E13" s="94"/>
      <c r="F13" s="94"/>
      <c r="G13" s="94"/>
      <c r="H13" s="94"/>
      <c r="I13" s="94"/>
      <c r="J13" s="94"/>
      <c r="K13" s="94"/>
      <c r="L13" s="94"/>
    </row>
    <row r="14" spans="1:14">
      <c r="C14" s="94"/>
      <c r="D14" s="94"/>
      <c r="E14" s="94"/>
      <c r="F14" s="94"/>
      <c r="G14" s="94"/>
      <c r="H14" s="94"/>
      <c r="I14" s="94"/>
      <c r="J14" s="94"/>
      <c r="K14" s="94"/>
      <c r="L14" s="94"/>
    </row>
    <row r="15" spans="1:14">
      <c r="C15" s="94"/>
      <c r="D15" s="94"/>
      <c r="E15" s="94"/>
      <c r="F15" s="94"/>
      <c r="G15" s="94"/>
      <c r="H15" s="94"/>
      <c r="I15" s="94"/>
      <c r="J15" s="94"/>
      <c r="K15" s="94"/>
      <c r="L15" s="94"/>
    </row>
    <row r="16" spans="1:14">
      <c r="C16" s="94"/>
      <c r="D16" s="94"/>
      <c r="E16" s="94"/>
      <c r="F16" s="94"/>
      <c r="G16" s="94"/>
      <c r="H16" s="94"/>
      <c r="I16" s="94"/>
      <c r="J16" s="94"/>
      <c r="K16" s="94"/>
      <c r="L16" s="94"/>
    </row>
    <row r="17" spans="3:12">
      <c r="C17" s="24"/>
      <c r="D17" s="24"/>
      <c r="E17" s="24"/>
      <c r="F17" s="24"/>
      <c r="G17" s="24"/>
      <c r="H17" s="24"/>
      <c r="I17" s="24"/>
      <c r="J17" s="24"/>
      <c r="K17" s="24"/>
      <c r="L17" s="24"/>
    </row>
  </sheetData>
  <mergeCells count="15">
    <mergeCell ref="B3:L3"/>
    <mergeCell ref="B4:L4"/>
    <mergeCell ref="C6:L6"/>
    <mergeCell ref="F2:L2"/>
    <mergeCell ref="C7:L7"/>
    <mergeCell ref="C8:L8"/>
    <mergeCell ref="C9:L9"/>
    <mergeCell ref="C10:L10"/>
    <mergeCell ref="C5:L5"/>
    <mergeCell ref="C16:L16"/>
    <mergeCell ref="C11:L11"/>
    <mergeCell ref="C12:L12"/>
    <mergeCell ref="C13:L13"/>
    <mergeCell ref="C14:L14"/>
    <mergeCell ref="C15:L15"/>
  </mergeCells>
  <phoneticPr fontId="1"/>
  <dataValidations count="2">
    <dataValidation type="list" allowBlank="1" showInputMessage="1" showErrorMessage="1" sqref="L1" xr:uid="{00000000-0002-0000-0900-000000000000}">
      <formula1>"CR,MJ,MN,REF"</formula1>
    </dataValidation>
    <dataValidation type="list" allowBlank="1" showInputMessage="1" showErrorMessage="1" sqref="B2" xr:uid="{00000000-0002-0000-0900-000001000000}">
      <formula1>"Addressed,Open,Closed"</formula1>
    </dataValidation>
  </dataValidations>
  <hyperlinks>
    <hyperlink ref="M1" location="DashBoard!A1" display="To DashBoard" xr:uid="{00000000-0004-0000-0900-000000000000}"/>
  </hyperlink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2000000}">
          <x14:formula1>
            <xm:f>db!$A$1:$B$1</xm:f>
          </x14:formula1>
          <xm:sqref>B6:B1048576 D1:D2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Cover</vt:lpstr>
      <vt:lpstr>DashBoard</vt:lpstr>
      <vt:lpstr> 1</vt:lpstr>
      <vt:lpstr> 2</vt:lpstr>
      <vt:lpstr> 3</vt:lpstr>
      <vt:lpstr> 4</vt:lpstr>
      <vt:lpstr> 5</vt:lpstr>
      <vt:lpstr> 6</vt:lpstr>
      <vt:lpstr>7</vt:lpstr>
      <vt:lpstr>8</vt:lpstr>
      <vt:lpstr>9</vt:lpstr>
      <vt:lpstr>db</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Matsumoto, Hiroyuki/松元 宏之</dc:creator>
  <cp:lastModifiedBy>Zhang, Lei1</cp:lastModifiedBy>
  <dcterms:created xsi:type="dcterms:W3CDTF">2019-09-30T00:07:16Z</dcterms:created>
  <dcterms:modified xsi:type="dcterms:W3CDTF">2019-11-20T05:36:23Z</dcterms:modified>
</cp:coreProperties>
</file>